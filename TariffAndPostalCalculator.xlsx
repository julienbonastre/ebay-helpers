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a82e9093e35fcd/Documents/"/>
    </mc:Choice>
  </mc:AlternateContent>
  <xr:revisionPtr revIDLastSave="1518" documentId="8_{DE21F6CE-5E57-E945-93AE-28344F0059EC}" xr6:coauthVersionLast="47" xr6:coauthVersionMax="47" xr10:uidLastSave="{AC07AC6F-4380-FF40-93C5-62C39C53D17E}"/>
  <bookViews>
    <workbookView xWindow="38400" yWindow="0" windowWidth="38400" windowHeight="21600" xr2:uid="{80D720B1-1CFA-7B4D-AA47-61344AAF2ED8}"/>
  </bookViews>
  <sheets>
    <sheet name="🌟 Lookup Calculator 🐵" sheetId="6" r:id="rId1"/>
    <sheet name="PostalCost_International" sheetId="1" r:id="rId2"/>
    <sheet name="BrandCOOs" sheetId="4" r:id="rId3"/>
    <sheet name="USA_Costs" sheetId="3" r:id="rId4"/>
    <sheet name="USA_TariffBands" sheetId="2" r:id="rId5"/>
    <sheet name="Extra Cover" sheetId="5" r:id="rId6"/>
  </sheets>
  <definedNames>
    <definedName name="_xlnm._FilterDatabase" localSheetId="2" hidden="1">BrandCOOs!$A$1:$G$1</definedName>
    <definedName name="BrandList">BrandCOOs!$A$2:$A$28</definedName>
    <definedName name="COOs">USA_Costs!$B$2:$B$9</definedName>
    <definedName name="DestinationZones">PostalCost_International!$A$2:$A$24</definedName>
    <definedName name="WeightBand">PostalCost_International!$G$3:$G$7</definedName>
    <definedName name="WeightRanges">PostalCost_International!$C$3:$C$7</definedName>
    <definedName name="ZonosProcessingChargeCostPerShipment">USA_Costs!$B$12</definedName>
    <definedName name="ZonosProcessingChargePercentage">USA_Costs!$B$11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6" l="1"/>
  <c r="C21" i="6"/>
  <c r="J13" i="1"/>
  <c r="K13" i="1" s="1"/>
  <c r="O13" i="1"/>
  <c r="J25" i="1"/>
  <c r="K25" i="1"/>
  <c r="L25" i="1"/>
  <c r="M25" i="1"/>
  <c r="N25" i="1"/>
  <c r="O25" i="1"/>
  <c r="J19" i="1"/>
  <c r="K19" i="1" s="1"/>
  <c r="C13" i="6"/>
  <c r="C14" i="1"/>
  <c r="C15" i="1"/>
  <c r="C16" i="1"/>
  <c r="C17" i="1"/>
  <c r="C18" i="1"/>
  <c r="C20" i="1"/>
  <c r="C21" i="1"/>
  <c r="C22" i="1"/>
  <c r="C23" i="1"/>
  <c r="C24" i="1"/>
  <c r="C4" i="1"/>
  <c r="C5" i="1"/>
  <c r="C6" i="1"/>
  <c r="C7" i="1"/>
  <c r="C8" i="1"/>
  <c r="C9" i="1"/>
  <c r="C10" i="1"/>
  <c r="C11" i="1"/>
  <c r="C12" i="1"/>
  <c r="C3" i="1"/>
  <c r="D10" i="6"/>
  <c r="N13" i="1" l="1"/>
  <c r="M13" i="1"/>
  <c r="L13" i="1"/>
  <c r="O19" i="1"/>
  <c r="N19" i="1"/>
  <c r="M19" i="1"/>
  <c r="L19" i="1"/>
  <c r="B20" i="1"/>
  <c r="B8" i="1"/>
  <c r="B14" i="1"/>
  <c r="B2" i="1"/>
  <c r="A20" i="1"/>
  <c r="A21" i="1"/>
  <c r="B21" i="1" s="1"/>
  <c r="A22" i="1"/>
  <c r="B22" i="1" s="1"/>
  <c r="A23" i="1"/>
  <c r="B23" i="1" s="1"/>
  <c r="A24" i="1"/>
  <c r="B24" i="1" s="1"/>
  <c r="A3" i="1"/>
  <c r="B3" i="1" s="1"/>
  <c r="A4" i="1"/>
  <c r="B4" i="1" s="1"/>
  <c r="A5" i="1"/>
  <c r="B5" i="1" s="1"/>
  <c r="A6" i="1"/>
  <c r="B6" i="1" s="1"/>
  <c r="A7" i="1"/>
  <c r="B7" i="1" s="1"/>
  <c r="A8" i="1"/>
  <c r="A9" i="1"/>
  <c r="B9" i="1" s="1"/>
  <c r="A10" i="1"/>
  <c r="B10" i="1" s="1"/>
  <c r="A11" i="1"/>
  <c r="B11" i="1" s="1"/>
  <c r="A12" i="1"/>
  <c r="B12" i="1" s="1"/>
  <c r="A14" i="1"/>
  <c r="A15" i="1"/>
  <c r="B15" i="1" s="1"/>
  <c r="A16" i="1"/>
  <c r="B16" i="1" s="1"/>
  <c r="A17" i="1"/>
  <c r="B17" i="1" s="1"/>
  <c r="A18" i="1"/>
  <c r="B18" i="1" s="1"/>
  <c r="A2" i="1"/>
  <c r="D11" i="6"/>
  <c r="F12" i="6"/>
  <c r="G12" i="6"/>
  <c r="H12" i="6"/>
  <c r="I12" i="6"/>
  <c r="E12" i="6"/>
  <c r="E16" i="6"/>
  <c r="D17" i="6" l="1"/>
  <c r="F17" i="6" s="1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C9" i="5"/>
  <c r="C10" i="5"/>
  <c r="C11" i="5"/>
  <c r="C12" i="5"/>
  <c r="C13" i="5"/>
  <c r="C14" i="5"/>
  <c r="C15" i="5"/>
  <c r="C16" i="5"/>
  <c r="C17" i="5"/>
  <c r="C18" i="5"/>
  <c r="C19" i="5"/>
  <c r="C8" i="5"/>
  <c r="E47" i="2"/>
  <c r="F47" i="2"/>
  <c r="G47" i="2"/>
  <c r="H47" i="2"/>
  <c r="I47" i="2"/>
  <c r="J47" i="2"/>
  <c r="J7" i="1"/>
  <c r="L7" i="1" s="1"/>
  <c r="J14" i="2"/>
  <c r="J25" i="2"/>
  <c r="J36" i="2"/>
  <c r="I14" i="2"/>
  <c r="I25" i="2"/>
  <c r="I36" i="2"/>
  <c r="F14" i="2"/>
  <c r="F25" i="2"/>
  <c r="F36" i="2"/>
  <c r="E14" i="2"/>
  <c r="E25" i="2"/>
  <c r="E36" i="2"/>
  <c r="G36" i="2"/>
  <c r="H36" i="2"/>
  <c r="H25" i="2"/>
  <c r="G25" i="2"/>
  <c r="J22" i="1"/>
  <c r="M22" i="1" s="1"/>
  <c r="J23" i="1"/>
  <c r="L23" i="1" s="1"/>
  <c r="J24" i="1"/>
  <c r="O24" i="1" s="1"/>
  <c r="J21" i="1"/>
  <c r="K21" i="1" s="1"/>
  <c r="J17" i="1"/>
  <c r="L17" i="1" s="1"/>
  <c r="J18" i="1"/>
  <c r="O18" i="1" s="1"/>
  <c r="J11" i="1"/>
  <c r="K11" i="1" s="1"/>
  <c r="J12" i="1"/>
  <c r="L12" i="1" s="1"/>
  <c r="J15" i="1"/>
  <c r="L15" i="1" s="1"/>
  <c r="J9" i="1"/>
  <c r="K9" i="1" s="1"/>
  <c r="J4" i="1"/>
  <c r="O4" i="1" s="1"/>
  <c r="J5" i="1"/>
  <c r="L5" i="1" s="1"/>
  <c r="J6" i="1"/>
  <c r="L6" i="1" s="1"/>
  <c r="F11" i="6" s="1"/>
  <c r="F13" i="6" s="1"/>
  <c r="J3" i="1"/>
  <c r="L3" i="1" s="1"/>
  <c r="I16" i="1"/>
  <c r="J16" i="1" s="1"/>
  <c r="I10" i="1"/>
  <c r="J10" i="1" s="1"/>
  <c r="G14" i="2"/>
  <c r="H14" i="2"/>
  <c r="F18" i="6" l="1"/>
  <c r="F19" i="6" s="1"/>
  <c r="M7" i="1"/>
  <c r="K7" i="1"/>
  <c r="N6" i="1"/>
  <c r="D45" i="2" s="1"/>
  <c r="N11" i="1"/>
  <c r="M6" i="1"/>
  <c r="C39" i="2" s="1"/>
  <c r="L22" i="1"/>
  <c r="O6" i="1"/>
  <c r="I11" i="6" s="1"/>
  <c r="L11" i="1"/>
  <c r="O7" i="1"/>
  <c r="N4" i="1"/>
  <c r="D17" i="2" s="1"/>
  <c r="F17" i="2" s="1"/>
  <c r="O3" i="1"/>
  <c r="C49" i="2"/>
  <c r="C53" i="2"/>
  <c r="C57" i="2"/>
  <c r="O5" i="1"/>
  <c r="N24" i="1"/>
  <c r="M11" i="1"/>
  <c r="L24" i="1"/>
  <c r="N7" i="1"/>
  <c r="C50" i="2"/>
  <c r="C54" i="2"/>
  <c r="N5" i="1"/>
  <c r="D29" i="2" s="1"/>
  <c r="O17" i="1"/>
  <c r="C51" i="2"/>
  <c r="O16" i="1"/>
  <c r="N16" i="1"/>
  <c r="M24" i="1"/>
  <c r="K15" i="1"/>
  <c r="O23" i="1"/>
  <c r="N3" i="1"/>
  <c r="D11" i="2" s="1"/>
  <c r="K24" i="1"/>
  <c r="N23" i="1"/>
  <c r="O12" i="1"/>
  <c r="N17" i="1"/>
  <c r="K23" i="1"/>
  <c r="O22" i="1"/>
  <c r="K12" i="1"/>
  <c r="K22" i="1"/>
  <c r="N22" i="1"/>
  <c r="K3" i="1"/>
  <c r="O11" i="1"/>
  <c r="O15" i="1"/>
  <c r="N21" i="1"/>
  <c r="M23" i="1"/>
  <c r="M21" i="1"/>
  <c r="O21" i="1"/>
  <c r="L21" i="1"/>
  <c r="N10" i="1"/>
  <c r="O10" i="1"/>
  <c r="K10" i="1"/>
  <c r="M10" i="1"/>
  <c r="L10" i="1"/>
  <c r="L9" i="1"/>
  <c r="C42" i="2"/>
  <c r="M4" i="1"/>
  <c r="C16" i="2" s="1"/>
  <c r="N9" i="1"/>
  <c r="M18" i="1"/>
  <c r="M16" i="1"/>
  <c r="D37" i="2"/>
  <c r="O9" i="1"/>
  <c r="N18" i="1"/>
  <c r="L4" i="1"/>
  <c r="M9" i="1"/>
  <c r="L18" i="1"/>
  <c r="L16" i="1"/>
  <c r="K6" i="1"/>
  <c r="E11" i="6" s="1"/>
  <c r="K18" i="1"/>
  <c r="N15" i="1"/>
  <c r="K5" i="1"/>
  <c r="M5" i="1"/>
  <c r="M3" i="1"/>
  <c r="N12" i="1"/>
  <c r="K17" i="1"/>
  <c r="M17" i="1"/>
  <c r="M15" i="1"/>
  <c r="K4" i="1"/>
  <c r="M12" i="1"/>
  <c r="K16" i="1"/>
  <c r="D44" i="2"/>
  <c r="D46" i="2"/>
  <c r="D39" i="2"/>
  <c r="C40" i="2"/>
  <c r="C44" i="2"/>
  <c r="C41" i="2"/>
  <c r="C45" i="2"/>
  <c r="C38" i="2"/>
  <c r="F21" i="6" l="1"/>
  <c r="D23" i="2"/>
  <c r="I13" i="6"/>
  <c r="I21" i="6" s="1"/>
  <c r="E13" i="6"/>
  <c r="E21" i="6" s="1"/>
  <c r="D41" i="2"/>
  <c r="F41" i="2" s="1"/>
  <c r="H11" i="6"/>
  <c r="C37" i="2"/>
  <c r="G37" i="2" s="1"/>
  <c r="G11" i="6"/>
  <c r="C46" i="2"/>
  <c r="E46" i="2" s="1"/>
  <c r="C19" i="2"/>
  <c r="I19" i="2" s="1"/>
  <c r="D9" i="2"/>
  <c r="F9" i="2" s="1"/>
  <c r="H9" i="2" s="1"/>
  <c r="D33" i="2"/>
  <c r="J33" i="2" s="1"/>
  <c r="D26" i="2"/>
  <c r="J26" i="2" s="1"/>
  <c r="D28" i="2"/>
  <c r="J28" i="2" s="1"/>
  <c r="D19" i="2"/>
  <c r="F19" i="2" s="1"/>
  <c r="D21" i="2"/>
  <c r="J21" i="2" s="1"/>
  <c r="D15" i="2"/>
  <c r="H15" i="2" s="1"/>
  <c r="C18" i="2"/>
  <c r="E18" i="2" s="1"/>
  <c r="C22" i="2"/>
  <c r="I22" i="2" s="1"/>
  <c r="D20" i="2"/>
  <c r="H20" i="2" s="1"/>
  <c r="D24" i="2"/>
  <c r="J24" i="2" s="1"/>
  <c r="D18" i="2"/>
  <c r="F18" i="2" s="1"/>
  <c r="D22" i="2"/>
  <c r="F22" i="2" s="1"/>
  <c r="C55" i="2"/>
  <c r="C56" i="2"/>
  <c r="C52" i="2"/>
  <c r="C48" i="2"/>
  <c r="I51" i="2"/>
  <c r="E51" i="2"/>
  <c r="G51" i="2"/>
  <c r="E45" i="2"/>
  <c r="G45" i="2"/>
  <c r="I45" i="2"/>
  <c r="H39" i="2"/>
  <c r="J39" i="2"/>
  <c r="F39" i="2"/>
  <c r="D4" i="2"/>
  <c r="F4" i="2" s="1"/>
  <c r="H4" i="2" s="1"/>
  <c r="D16" i="2"/>
  <c r="F16" i="2" s="1"/>
  <c r="D31" i="2"/>
  <c r="D35" i="2"/>
  <c r="D27" i="2"/>
  <c r="D34" i="2"/>
  <c r="D30" i="2"/>
  <c r="G38" i="2"/>
  <c r="I38" i="2"/>
  <c r="E38" i="2"/>
  <c r="E40" i="2"/>
  <c r="G40" i="2"/>
  <c r="I40" i="2"/>
  <c r="D6" i="2"/>
  <c r="J6" i="2" s="1"/>
  <c r="F46" i="2"/>
  <c r="H46" i="2"/>
  <c r="J46" i="2"/>
  <c r="J44" i="2"/>
  <c r="F44" i="2"/>
  <c r="H44" i="2"/>
  <c r="H17" i="2"/>
  <c r="G54" i="2"/>
  <c r="I54" i="2"/>
  <c r="E54" i="2"/>
  <c r="E44" i="2"/>
  <c r="G44" i="2"/>
  <c r="I44" i="2"/>
  <c r="G50" i="2"/>
  <c r="I50" i="2"/>
  <c r="E50" i="2"/>
  <c r="E41" i="2"/>
  <c r="G41" i="2"/>
  <c r="I41" i="2"/>
  <c r="D7" i="2"/>
  <c r="F7" i="2" s="1"/>
  <c r="H7" i="2" s="1"/>
  <c r="F45" i="2"/>
  <c r="H45" i="2"/>
  <c r="J45" i="2"/>
  <c r="J17" i="2"/>
  <c r="D55" i="2"/>
  <c r="D50" i="2"/>
  <c r="D54" i="2"/>
  <c r="D49" i="2"/>
  <c r="D51" i="2"/>
  <c r="D57" i="2"/>
  <c r="D53" i="2"/>
  <c r="D52" i="2"/>
  <c r="D48" i="2"/>
  <c r="D56" i="2"/>
  <c r="E57" i="2"/>
  <c r="G57" i="2"/>
  <c r="I57" i="2"/>
  <c r="D13" i="2"/>
  <c r="F13" i="2" s="1"/>
  <c r="H13" i="2" s="1"/>
  <c r="D32" i="2"/>
  <c r="J32" i="2" s="1"/>
  <c r="D5" i="2"/>
  <c r="F5" i="2" s="1"/>
  <c r="H5" i="2" s="1"/>
  <c r="I39" i="2"/>
  <c r="E39" i="2"/>
  <c r="G39" i="2"/>
  <c r="G42" i="2"/>
  <c r="I42" i="2"/>
  <c r="E42" i="2"/>
  <c r="E53" i="2"/>
  <c r="G53" i="2"/>
  <c r="I53" i="2"/>
  <c r="E49" i="2"/>
  <c r="G49" i="2"/>
  <c r="I49" i="2"/>
  <c r="F11" i="2"/>
  <c r="H11" i="2" s="1"/>
  <c r="J11" i="2"/>
  <c r="F37" i="2"/>
  <c r="H37" i="2"/>
  <c r="J37" i="2"/>
  <c r="I16" i="2"/>
  <c r="G16" i="2"/>
  <c r="E16" i="2"/>
  <c r="F23" i="2"/>
  <c r="H23" i="2"/>
  <c r="J23" i="2"/>
  <c r="F29" i="2"/>
  <c r="J29" i="2"/>
  <c r="H29" i="2"/>
  <c r="D8" i="2"/>
  <c r="D10" i="2"/>
  <c r="D12" i="2"/>
  <c r="C15" i="2"/>
  <c r="C17" i="2"/>
  <c r="D40" i="2"/>
  <c r="C23" i="2"/>
  <c r="D42" i="2"/>
  <c r="C21" i="2"/>
  <c r="D38" i="2"/>
  <c r="C24" i="2"/>
  <c r="C9" i="2"/>
  <c r="C13" i="2"/>
  <c r="C4" i="2"/>
  <c r="C5" i="2"/>
  <c r="C10" i="2"/>
  <c r="C6" i="2"/>
  <c r="C11" i="2"/>
  <c r="C7" i="2"/>
  <c r="C12" i="2"/>
  <c r="C8" i="2"/>
  <c r="D43" i="2"/>
  <c r="C43" i="2"/>
  <c r="C20" i="2"/>
  <c r="C34" i="2"/>
  <c r="C32" i="2"/>
  <c r="C26" i="2"/>
  <c r="C35" i="2"/>
  <c r="C33" i="2"/>
  <c r="C27" i="2"/>
  <c r="C28" i="2"/>
  <c r="C30" i="2"/>
  <c r="C31" i="2"/>
  <c r="C29" i="2"/>
  <c r="J41" i="2" l="1"/>
  <c r="J18" i="2"/>
  <c r="H41" i="2"/>
  <c r="H18" i="2"/>
  <c r="F28" i="2"/>
  <c r="H28" i="2"/>
  <c r="F15" i="2"/>
  <c r="J9" i="2"/>
  <c r="J15" i="2"/>
  <c r="I37" i="2"/>
  <c r="J20" i="2"/>
  <c r="G13" i="6"/>
  <c r="G21" i="6" s="1"/>
  <c r="H13" i="6"/>
  <c r="H21" i="6" s="1"/>
  <c r="F20" i="2"/>
  <c r="E37" i="2"/>
  <c r="E19" i="2"/>
  <c r="G19" i="2"/>
  <c r="I46" i="2"/>
  <c r="G46" i="2"/>
  <c r="F26" i="2"/>
  <c r="H26" i="2"/>
  <c r="F24" i="2"/>
  <c r="J19" i="2"/>
  <c r="F33" i="2"/>
  <c r="H19" i="2"/>
  <c r="H33" i="2"/>
  <c r="G18" i="2"/>
  <c r="H21" i="2"/>
  <c r="F32" i="2"/>
  <c r="J22" i="2"/>
  <c r="F21" i="2"/>
  <c r="H32" i="2"/>
  <c r="H22" i="2"/>
  <c r="J13" i="2"/>
  <c r="E48" i="2"/>
  <c r="I48" i="2"/>
  <c r="G48" i="2"/>
  <c r="F6" i="2"/>
  <c r="H6" i="2" s="1"/>
  <c r="E22" i="2"/>
  <c r="E56" i="2"/>
  <c r="I56" i="2"/>
  <c r="G56" i="2"/>
  <c r="G22" i="2"/>
  <c r="I55" i="2"/>
  <c r="E55" i="2"/>
  <c r="G55" i="2"/>
  <c r="E52" i="2"/>
  <c r="I52" i="2"/>
  <c r="G52" i="2"/>
  <c r="I18" i="2"/>
  <c r="H24" i="2"/>
  <c r="J7" i="2"/>
  <c r="J16" i="2"/>
  <c r="J35" i="2"/>
  <c r="H35" i="2"/>
  <c r="F35" i="2"/>
  <c r="J56" i="2"/>
  <c r="F56" i="2"/>
  <c r="H56" i="2"/>
  <c r="F54" i="2"/>
  <c r="H54" i="2"/>
  <c r="J54" i="2"/>
  <c r="H31" i="2"/>
  <c r="J31" i="2"/>
  <c r="F31" i="2"/>
  <c r="J48" i="2"/>
  <c r="F48" i="2"/>
  <c r="H48" i="2"/>
  <c r="F38" i="2"/>
  <c r="H38" i="2"/>
  <c r="J38" i="2"/>
  <c r="J4" i="2"/>
  <c r="J5" i="2"/>
  <c r="F57" i="2"/>
  <c r="H57" i="2"/>
  <c r="J57" i="2"/>
  <c r="H30" i="2"/>
  <c r="F30" i="2"/>
  <c r="J30" i="2"/>
  <c r="J52" i="2"/>
  <c r="F52" i="2"/>
  <c r="H52" i="2"/>
  <c r="F53" i="2"/>
  <c r="H53" i="2"/>
  <c r="J53" i="2"/>
  <c r="H51" i="2"/>
  <c r="J51" i="2"/>
  <c r="F51" i="2"/>
  <c r="J34" i="2"/>
  <c r="F34" i="2"/>
  <c r="H34" i="2"/>
  <c r="F50" i="2"/>
  <c r="H50" i="2"/>
  <c r="J50" i="2"/>
  <c r="H55" i="2"/>
  <c r="J55" i="2"/>
  <c r="F55" i="2"/>
  <c r="H16" i="2"/>
  <c r="F42" i="2"/>
  <c r="H42" i="2"/>
  <c r="J42" i="2"/>
  <c r="I43" i="2"/>
  <c r="E43" i="2"/>
  <c r="G43" i="2"/>
  <c r="H43" i="2"/>
  <c r="J43" i="2"/>
  <c r="F43" i="2"/>
  <c r="J40" i="2"/>
  <c r="F40" i="2"/>
  <c r="H40" i="2"/>
  <c r="F49" i="2"/>
  <c r="H49" i="2"/>
  <c r="J49" i="2"/>
  <c r="J27" i="2"/>
  <c r="H27" i="2"/>
  <c r="F27" i="2"/>
  <c r="J10" i="2"/>
  <c r="F10" i="2"/>
  <c r="H10" i="2" s="1"/>
  <c r="I32" i="2"/>
  <c r="G32" i="2"/>
  <c r="E32" i="2"/>
  <c r="E27" i="2"/>
  <c r="I27" i="2"/>
  <c r="G27" i="2"/>
  <c r="I4" i="2"/>
  <c r="E4" i="2"/>
  <c r="G4" i="2" s="1"/>
  <c r="E33" i="2"/>
  <c r="I33" i="2"/>
  <c r="G33" i="2"/>
  <c r="I8" i="2"/>
  <c r="E8" i="2"/>
  <c r="G8" i="2" s="1"/>
  <c r="E13" i="2"/>
  <c r="G13" i="2" s="1"/>
  <c r="I13" i="2"/>
  <c r="E17" i="2"/>
  <c r="I17" i="2"/>
  <c r="G17" i="2"/>
  <c r="E11" i="2"/>
  <c r="G11" i="2" s="1"/>
  <c r="I11" i="2"/>
  <c r="E35" i="2"/>
  <c r="I35" i="2"/>
  <c r="G35" i="2"/>
  <c r="E12" i="2"/>
  <c r="G12" i="2" s="1"/>
  <c r="I12" i="2"/>
  <c r="E9" i="2"/>
  <c r="G9" i="2" s="1"/>
  <c r="I9" i="2"/>
  <c r="E15" i="2"/>
  <c r="G15" i="2"/>
  <c r="I15" i="2"/>
  <c r="G29" i="2"/>
  <c r="E29" i="2"/>
  <c r="I29" i="2"/>
  <c r="E26" i="2"/>
  <c r="I26" i="2"/>
  <c r="G26" i="2"/>
  <c r="I7" i="2"/>
  <c r="E7" i="2"/>
  <c r="G7" i="2" s="1"/>
  <c r="I24" i="2"/>
  <c r="G24" i="2"/>
  <c r="E24" i="2"/>
  <c r="F8" i="2"/>
  <c r="H8" i="2" s="1"/>
  <c r="J8" i="2"/>
  <c r="G31" i="2"/>
  <c r="E31" i="2"/>
  <c r="I31" i="2"/>
  <c r="E34" i="2"/>
  <c r="I34" i="2"/>
  <c r="G34" i="2"/>
  <c r="I6" i="2"/>
  <c r="E6" i="2"/>
  <c r="G6" i="2" s="1"/>
  <c r="G21" i="2"/>
  <c r="E21" i="2"/>
  <c r="I21" i="2"/>
  <c r="E10" i="2"/>
  <c r="G10" i="2" s="1"/>
  <c r="I10" i="2"/>
  <c r="F12" i="2"/>
  <c r="H12" i="2" s="1"/>
  <c r="J12" i="2"/>
  <c r="G30" i="2"/>
  <c r="E30" i="2"/>
  <c r="I30" i="2"/>
  <c r="G20" i="2"/>
  <c r="E20" i="2"/>
  <c r="I20" i="2"/>
  <c r="E28" i="2"/>
  <c r="I28" i="2"/>
  <c r="G28" i="2"/>
  <c r="E5" i="2"/>
  <c r="G5" i="2" s="1"/>
  <c r="I5" i="2"/>
  <c r="G23" i="2"/>
  <c r="E23" i="2"/>
  <c r="I23" i="2"/>
</calcChain>
</file>

<file path=xl/sharedStrings.xml><?xml version="1.0" encoding="utf-8"?>
<sst xmlns="http://schemas.openxmlformats.org/spreadsheetml/2006/main" count="281" uniqueCount="108">
  <si>
    <t>Zone</t>
  </si>
  <si>
    <t>USA &amp; Canada</t>
  </si>
  <si>
    <t>Band 1</t>
  </si>
  <si>
    <t>Band 2</t>
  </si>
  <si>
    <t>Band 3</t>
  </si>
  <si>
    <t>Band 4</t>
  </si>
  <si>
    <t>Band 5</t>
  </si>
  <si>
    <t>Weight Band</t>
  </si>
  <si>
    <t>&lt; 250g</t>
  </si>
  <si>
    <t>250 - 500g</t>
  </si>
  <si>
    <t>500 - 1kg</t>
  </si>
  <si>
    <t>1 - 1.5kg</t>
  </si>
  <si>
    <t>Weight</t>
  </si>
  <si>
    <t>Small</t>
  </si>
  <si>
    <t>Medium</t>
  </si>
  <si>
    <t>Large</t>
  </si>
  <si>
    <t>US IEEPA Reciprocal Tariffs</t>
  </si>
  <si>
    <t>COO</t>
  </si>
  <si>
    <t>China</t>
  </si>
  <si>
    <t>Zonos Processing Charge</t>
  </si>
  <si>
    <t>Malaysia</t>
  </si>
  <si>
    <t>Indonesia</t>
  </si>
  <si>
    <t>Japan</t>
  </si>
  <si>
    <t>(of duties)</t>
  </si>
  <si>
    <t>AUD per shipment</t>
  </si>
  <si>
    <t>Duty</t>
  </si>
  <si>
    <t>Band3</t>
  </si>
  <si>
    <t>Band4</t>
  </si>
  <si>
    <t>XLarge</t>
  </si>
  <si>
    <t>Max Value</t>
  </si>
  <si>
    <t>Weight Category</t>
  </si>
  <si>
    <t>AusPost 
Shipping Cost</t>
  </si>
  <si>
    <t>Country Of Origin/Manufacture (COO)</t>
  </si>
  <si>
    <t>India</t>
  </si>
  <si>
    <t>Vietnam</t>
  </si>
  <si>
    <t>Malaysia
Indonesia
Vietnam</t>
  </si>
  <si>
    <t>Spell</t>
  </si>
  <si>
    <t>Fillyboo</t>
  </si>
  <si>
    <t>Brand</t>
  </si>
  <si>
    <t>Secondaries</t>
  </si>
  <si>
    <t>Primary Materials
/ Manufacture</t>
  </si>
  <si>
    <t>Free People</t>
  </si>
  <si>
    <t>Auguste</t>
  </si>
  <si>
    <t>Coven &amp; Co</t>
  </si>
  <si>
    <t>Australia</t>
  </si>
  <si>
    <t>Aje</t>
  </si>
  <si>
    <t>Wildfox</t>
  </si>
  <si>
    <t>Type</t>
  </si>
  <si>
    <t>Sunnies</t>
  </si>
  <si>
    <t>USA</t>
  </si>
  <si>
    <t>Kivari</t>
  </si>
  <si>
    <t>Arnhem</t>
  </si>
  <si>
    <t>Lele Sadoughi</t>
  </si>
  <si>
    <t>Headbands</t>
  </si>
  <si>
    <t>Tree of Life</t>
  </si>
  <si>
    <t>Sabbi</t>
  </si>
  <si>
    <t>Ghanda</t>
  </si>
  <si>
    <t>United States</t>
  </si>
  <si>
    <t>Nine Lives Bazaar</t>
  </si>
  <si>
    <t>UK &amp; Ireland</t>
  </si>
  <si>
    <t>Region</t>
  </si>
  <si>
    <t>Standard</t>
  </si>
  <si>
    <t>Service</t>
  </si>
  <si>
    <t>Band 0 
(Base)</t>
  </si>
  <si>
    <t>Major EU</t>
  </si>
  <si>
    <t>Zone 3 - US &amp; Canada</t>
  </si>
  <si>
    <t>Handling Fee</t>
  </si>
  <si>
    <t xml:space="preserve">https://auspost.com.au/content/dam/auspost_corp/media/documents/mypost-business-postage-rates-guide.pdf </t>
  </si>
  <si>
    <t>Source</t>
  </si>
  <si>
    <t>New Zealand</t>
  </si>
  <si>
    <t>XXLarge</t>
  </si>
  <si>
    <t>1.5kg - 2kg</t>
  </si>
  <si>
    <t>Band 0 
(Base) per $100 part thereof</t>
  </si>
  <si>
    <t>Extra Cover</t>
  </si>
  <si>
    <t>Value Less Than</t>
  </si>
  <si>
    <t>Zonos Charges</t>
  </si>
  <si>
    <t>Auspost Shipping</t>
  </si>
  <si>
    <t>Subtotal</t>
  </si>
  <si>
    <t>Destination Zone</t>
  </si>
  <si>
    <t>DestinationCode</t>
  </si>
  <si>
    <t>3-USA &amp; Canada</t>
  </si>
  <si>
    <t>DestinationAndWeightMatch</t>
  </si>
  <si>
    <t>WeightRangeCode</t>
  </si>
  <si>
    <t>Excess Cover (Insured)</t>
  </si>
  <si>
    <t>No</t>
  </si>
  <si>
    <t>Medium [500 - 1kg]</t>
  </si>
  <si>
    <t>Selkie</t>
  </si>
  <si>
    <t>Ada + Lou</t>
  </si>
  <si>
    <t>Reebok x Maison</t>
  </si>
  <si>
    <t>Sneakers</t>
  </si>
  <si>
    <t>Country of Origin/Manufacture</t>
  </si>
  <si>
    <t>Love Bonfire</t>
  </si>
  <si>
    <t>Camilla Franks</t>
  </si>
  <si>
    <t>US Customs &amp; Duties</t>
  </si>
  <si>
    <t>Tariffs</t>
  </si>
  <si>
    <t>Lack of Color</t>
  </si>
  <si>
    <t>Hats</t>
  </si>
  <si>
    <t>XSmall</t>
  </si>
  <si>
    <r>
      <rPr>
        <sz val="16"/>
        <color theme="3" tint="0.89999084444715716"/>
        <rFont val="Bauhaus 93"/>
      </rPr>
      <t>🌟👑</t>
    </r>
    <r>
      <rPr>
        <sz val="20"/>
        <color theme="3" tint="0.89999084444715716"/>
        <rFont val="Bauhaus 93"/>
      </rPr>
      <t xml:space="preserve"> La Troverie - International Shipping + Duties Calculator </t>
    </r>
    <r>
      <rPr>
        <sz val="16"/>
        <color theme="3" tint="0.89999084444715716"/>
        <rFont val="Bauhaus 93"/>
      </rPr>
      <t>👑🌟</t>
    </r>
  </si>
  <si>
    <t>Jen's Pirate Booty</t>
  </si>
  <si>
    <t>Mexico</t>
  </si>
  <si>
    <t>LoveShackFancy</t>
  </si>
  <si>
    <t>Blue Illusion</t>
  </si>
  <si>
    <t>Innika Choo [India]</t>
  </si>
  <si>
    <t>Innika Choo [China]</t>
  </si>
  <si>
    <t>Kip &amp; Co</t>
  </si>
  <si>
    <t>Innika Choo [Bali]</t>
  </si>
  <si>
    <t>Item Value (AUD)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</si>
</sst>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theme="0"/>
      <name val="Aptos Narrow"/>
      <scheme val="minor"/>
    </font>
    <font>
      <sz val="16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  <font>
      <b/>
      <sz val="12"/>
      <name val="Aptos Narrow"/>
      <scheme val="minor"/>
    </font>
    <font>
      <b/>
      <sz val="18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i/>
      <sz val="10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i/>
      <sz val="14"/>
      <color theme="1"/>
      <name val="Aptos Narrow"/>
      <scheme val="minor"/>
    </font>
    <font>
      <sz val="9"/>
      <color theme="1"/>
      <name val="Aptos Narrow"/>
      <family val="2"/>
      <scheme val="minor"/>
    </font>
    <font>
      <sz val="20"/>
      <color theme="3" tint="0.89999084444715716"/>
      <name val="Bauhaus 93"/>
    </font>
    <font>
      <sz val="12"/>
      <color theme="1"/>
      <name val="Aptos Narrow"/>
      <scheme val="minor"/>
    </font>
    <font>
      <sz val="16"/>
      <color theme="3" tint="0.89999084444715716"/>
      <name val="Bauhaus 93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theme="4" tint="-0.24994659260841701"/>
      </left>
      <right/>
      <top style="double">
        <color theme="4" tint="-0.24994659260841701"/>
      </top>
      <bottom/>
      <diagonal/>
    </border>
    <border>
      <left/>
      <right/>
      <top style="double">
        <color theme="4" tint="-0.24994659260841701"/>
      </top>
      <bottom/>
      <diagonal/>
    </border>
    <border>
      <left/>
      <right style="double">
        <color theme="4" tint="-0.24994659260841701"/>
      </right>
      <top style="double">
        <color theme="4" tint="-0.24994659260841701"/>
      </top>
      <bottom/>
      <diagonal/>
    </border>
    <border>
      <left style="double">
        <color theme="4" tint="-0.24994659260841701"/>
      </left>
      <right/>
      <top/>
      <bottom/>
      <diagonal/>
    </border>
    <border>
      <left/>
      <right style="double">
        <color theme="4" tint="-0.24994659260841701"/>
      </right>
      <top/>
      <bottom/>
      <diagonal/>
    </border>
    <border>
      <left style="double">
        <color theme="4" tint="-0.24994659260841701"/>
      </left>
      <right/>
      <top/>
      <bottom style="double">
        <color theme="4" tint="-0.24994659260841701"/>
      </bottom>
      <diagonal/>
    </border>
    <border>
      <left/>
      <right/>
      <top/>
      <bottom style="double">
        <color theme="4" tint="-0.24994659260841701"/>
      </bottom>
      <diagonal/>
    </border>
    <border>
      <left/>
      <right style="double">
        <color theme="4" tint="-0.24994659260841701"/>
      </right>
      <top/>
      <bottom style="double">
        <color theme="4" tint="-0.2499465926084170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44" fontId="0" fillId="0" borderId="0" xfId="1" applyFont="1"/>
    <xf numFmtId="0" fontId="4" fillId="0" borderId="0" xfId="0" applyFont="1"/>
    <xf numFmtId="9" fontId="0" fillId="0" borderId="0" xfId="1" applyNumberFormat="1" applyFont="1"/>
    <xf numFmtId="8" fontId="0" fillId="0" borderId="0" xfId="1" applyNumberFormat="1" applyFont="1"/>
    <xf numFmtId="44" fontId="0" fillId="0" borderId="1" xfId="0" applyNumberFormat="1" applyBorder="1"/>
    <xf numFmtId="0" fontId="0" fillId="0" borderId="1" xfId="0" applyBorder="1"/>
    <xf numFmtId="44" fontId="0" fillId="0" borderId="1" xfId="1" applyFont="1" applyBorder="1"/>
    <xf numFmtId="44" fontId="5" fillId="5" borderId="1" xfId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44" fontId="0" fillId="6" borderId="1" xfId="0" applyNumberFormat="1" applyFill="1" applyBorder="1"/>
    <xf numFmtId="0" fontId="0" fillId="6" borderId="0" xfId="0" applyFill="1"/>
    <xf numFmtId="0" fontId="6" fillId="0" borderId="0" xfId="0" applyFont="1"/>
    <xf numFmtId="0" fontId="6" fillId="3" borderId="6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 wrapText="1"/>
    </xf>
    <xf numFmtId="0" fontId="0" fillId="7" borderId="1" xfId="0" applyFill="1" applyBorder="1"/>
    <xf numFmtId="9" fontId="7" fillId="0" borderId="0" xfId="1" applyNumberFormat="1" applyFont="1"/>
    <xf numFmtId="44" fontId="7" fillId="0" borderId="0" xfId="1" applyFont="1"/>
    <xf numFmtId="0" fontId="0" fillId="8" borderId="1" xfId="0" applyFill="1" applyBorder="1"/>
    <xf numFmtId="0" fontId="0" fillId="6" borderId="1" xfId="0" applyFill="1" applyBorder="1"/>
    <xf numFmtId="0" fontId="8" fillId="10" borderId="0" xfId="0" applyFont="1" applyFill="1" applyAlignment="1">
      <alignment horizontal="center"/>
    </xf>
    <xf numFmtId="0" fontId="8" fillId="10" borderId="0" xfId="0" applyFont="1" applyFill="1" applyAlignment="1">
      <alignment horizontal="center" wrapText="1"/>
    </xf>
    <xf numFmtId="9" fontId="0" fillId="11" borderId="0" xfId="0" applyNumberFormat="1" applyFill="1"/>
    <xf numFmtId="9" fontId="0" fillId="12" borderId="0" xfId="0" applyNumberFormat="1" applyFill="1"/>
    <xf numFmtId="10" fontId="0" fillId="12" borderId="0" xfId="0" applyNumberFormat="1" applyFill="1"/>
    <xf numFmtId="0" fontId="0" fillId="13" borderId="0" xfId="0" applyFill="1"/>
    <xf numFmtId="0" fontId="4" fillId="13" borderId="0" xfId="0" applyFont="1" applyFill="1"/>
    <xf numFmtId="0" fontId="10" fillId="0" borderId="0" xfId="2"/>
    <xf numFmtId="9" fontId="0" fillId="0" borderId="0" xfId="0" applyNumberFormat="1"/>
    <xf numFmtId="6" fontId="0" fillId="0" borderId="0" xfId="0" applyNumberFormat="1"/>
    <xf numFmtId="8" fontId="0" fillId="0" borderId="1" xfId="0" applyNumberFormat="1" applyBorder="1"/>
    <xf numFmtId="0" fontId="11" fillId="14" borderId="1" xfId="0" applyFont="1" applyFill="1" applyBorder="1"/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44" fontId="4" fillId="0" borderId="2" xfId="1" applyFont="1" applyBorder="1" applyAlignment="1">
      <alignment horizontal="center" wrapText="1"/>
    </xf>
    <xf numFmtId="44" fontId="4" fillId="0" borderId="3" xfId="1" applyFont="1" applyBorder="1" applyAlignment="1">
      <alignment horizont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9" fillId="13" borderId="4" xfId="0" applyFont="1" applyFill="1" applyBorder="1" applyAlignment="1">
      <alignment horizontal="center"/>
    </xf>
    <xf numFmtId="0" fontId="9" fillId="13" borderId="8" xfId="0" applyFont="1" applyFill="1" applyBorder="1" applyAlignment="1">
      <alignment horizontal="center"/>
    </xf>
    <xf numFmtId="0" fontId="0" fillId="0" borderId="9" xfId="0" applyBorder="1"/>
    <xf numFmtId="44" fontId="0" fillId="0" borderId="9" xfId="0" applyNumberFormat="1" applyBorder="1"/>
    <xf numFmtId="2" fontId="0" fillId="0" borderId="9" xfId="0" applyNumberFormat="1" applyBorder="1"/>
    <xf numFmtId="44" fontId="4" fillId="0" borderId="9" xfId="0" applyNumberFormat="1" applyFont="1" applyBorder="1"/>
    <xf numFmtId="0" fontId="0" fillId="0" borderId="0" xfId="0" applyBorder="1"/>
    <xf numFmtId="44" fontId="0" fillId="0" borderId="0" xfId="0" applyNumberFormat="1" applyBorder="1"/>
    <xf numFmtId="0" fontId="12" fillId="4" borderId="0" xfId="0" applyFont="1" applyFill="1" applyBorder="1" applyAlignment="1">
      <alignment horizontal="center"/>
    </xf>
    <xf numFmtId="2" fontId="0" fillId="0" borderId="0" xfId="0" applyNumberFormat="1" applyBorder="1"/>
    <xf numFmtId="44" fontId="0" fillId="0" borderId="0" xfId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3" fillId="0" borderId="0" xfId="0" applyFont="1" applyProtection="1">
      <protection locked="0"/>
    </xf>
    <xf numFmtId="0" fontId="12" fillId="15" borderId="0" xfId="0" applyFont="1" applyFill="1" applyAlignment="1">
      <alignment horizontal="right"/>
    </xf>
    <xf numFmtId="44" fontId="4" fillId="0" borderId="0" xfId="1" applyFont="1" applyAlignment="1" applyProtection="1">
      <alignment horizontal="left"/>
      <protection locked="0"/>
    </xf>
    <xf numFmtId="0" fontId="4" fillId="0" borderId="9" xfId="0" applyFont="1" applyBorder="1" applyAlignment="1">
      <alignment horizontal="left" wrapText="1"/>
    </xf>
    <xf numFmtId="0" fontId="14" fillId="0" borderId="0" xfId="0" applyFont="1" applyAlignment="1">
      <alignment horizontal="center" wrapText="1"/>
    </xf>
    <xf numFmtId="0" fontId="12" fillId="15" borderId="0" xfId="0" applyFont="1" applyFill="1" applyAlignment="1">
      <alignment horizontal="left" vertic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" xfId="0" applyFill="1" applyBorder="1"/>
    <xf numFmtId="0" fontId="3" fillId="16" borderId="0" xfId="0" applyFont="1" applyFill="1" applyBorder="1"/>
    <xf numFmtId="0" fontId="3" fillId="8" borderId="0" xfId="0" applyFont="1" applyFill="1" applyBorder="1"/>
    <xf numFmtId="0" fontId="12" fillId="17" borderId="0" xfId="0" applyFont="1" applyFill="1" applyBorder="1"/>
    <xf numFmtId="0" fontId="17" fillId="0" borderId="0" xfId="0" applyFont="1" applyBorder="1" applyAlignment="1">
      <alignment horizontal="right"/>
    </xf>
    <xf numFmtId="9" fontId="15" fillId="17" borderId="0" xfId="3" applyFont="1" applyFill="1" applyBorder="1" applyAlignment="1">
      <alignment horizontal="right"/>
    </xf>
    <xf numFmtId="44" fontId="4" fillId="6" borderId="9" xfId="0" applyNumberFormat="1" applyFont="1" applyFill="1" applyBorder="1"/>
    <xf numFmtId="9" fontId="16" fillId="6" borderId="0" xfId="1" applyNumberFormat="1" applyFont="1" applyFill="1" applyBorder="1" applyAlignment="1">
      <alignment horizontal="center"/>
    </xf>
    <xf numFmtId="2" fontId="19" fillId="6" borderId="9" xfId="0" applyNumberFormat="1" applyFont="1" applyFill="1" applyBorder="1"/>
    <xf numFmtId="0" fontId="18" fillId="18" borderId="0" xfId="0" applyFont="1" applyFill="1" applyAlignment="1">
      <alignment horizontal="center" vertical="center"/>
    </xf>
  </cellXfs>
  <cellStyles count="4">
    <cellStyle name="Currency" xfId="1" builtinId="4"/>
    <cellStyle name="Hyperlink" xfId="2" builtinId="8"/>
    <cellStyle name="Normal" xfId="0" builtinId="0"/>
    <cellStyle name="Per cent" xfId="3" builtinId="5"/>
  </cellStyles>
  <dxfs count="2">
    <dxf>
      <font>
        <b val="0"/>
        <i/>
        <strike/>
      </font>
      <fill>
        <patternFill>
          <bgColor theme="0" tint="-0.24994659260841701"/>
        </patternFill>
      </fill>
    </dxf>
    <dxf>
      <font>
        <b val="0"/>
        <i/>
        <strike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uspost.com.au/content/dam/auspost_corp/media/documents/mypost-business-postage-rates-guide.pdf" TargetMode="External"/><Relationship Id="rId1" Type="http://schemas.openxmlformats.org/officeDocument/2006/relationships/hyperlink" Target="https://auspost.com.au/content/dam/auspost_corp/media/documents/mypost-business-postage-rates-gui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FE38-CD65-E842-8B95-529CBC923854}">
  <sheetPr>
    <tabColor theme="5" tint="-0.249977111117893"/>
  </sheetPr>
  <dimension ref="B1:J22"/>
  <sheetViews>
    <sheetView showGridLines="0" tabSelected="1" zoomScale="182" workbookViewId="0">
      <selection activeCell="F5" sqref="F5"/>
    </sheetView>
  </sheetViews>
  <sheetFormatPr baseColWidth="10" defaultRowHeight="16" x14ac:dyDescent="0.2"/>
  <cols>
    <col min="1" max="1" width="2.83203125" customWidth="1"/>
    <col min="2" max="2" width="2.33203125" customWidth="1"/>
    <col min="3" max="3" width="19.5" customWidth="1"/>
    <col min="4" max="4" width="23" customWidth="1"/>
    <col min="5" max="5" width="12.5" customWidth="1"/>
    <col min="10" max="10" width="2.83203125" customWidth="1"/>
  </cols>
  <sheetData>
    <row r="1" spans="2:10" ht="33" customHeight="1" x14ac:dyDescent="0.2">
      <c r="C1" s="79" t="s">
        <v>98</v>
      </c>
      <c r="D1" s="79"/>
      <c r="E1" s="79"/>
      <c r="F1" s="79"/>
      <c r="G1" s="79"/>
      <c r="H1" s="79"/>
      <c r="I1" s="79"/>
    </row>
    <row r="3" spans="2:10" ht="23" customHeight="1" x14ac:dyDescent="0.25">
      <c r="C3" s="64" t="s">
        <v>107</v>
      </c>
      <c r="D3" s="65">
        <v>125</v>
      </c>
    </row>
    <row r="4" spans="2:10" ht="25" customHeight="1" x14ac:dyDescent="0.25">
      <c r="C4" s="64" t="s">
        <v>12</v>
      </c>
      <c r="D4" s="63" t="s">
        <v>85</v>
      </c>
    </row>
    <row r="5" spans="2:10" ht="23" customHeight="1" x14ac:dyDescent="0.25">
      <c r="C5" s="64" t="s">
        <v>38</v>
      </c>
      <c r="D5" s="63" t="s">
        <v>105</v>
      </c>
    </row>
    <row r="6" spans="2:10" ht="25" customHeight="1" x14ac:dyDescent="0.25">
      <c r="C6" s="64" t="s">
        <v>78</v>
      </c>
      <c r="D6" s="63" t="s">
        <v>80</v>
      </c>
    </row>
    <row r="7" spans="2:10" ht="30" customHeight="1" x14ac:dyDescent="0.2">
      <c r="C7" s="68" t="s">
        <v>83</v>
      </c>
      <c r="D7" s="69" t="s">
        <v>84</v>
      </c>
      <c r="E7" s="67" t="str">
        <f>IF(AND($D$3&gt;=250,$D$7&lt;&gt;"Yes"),"⚠️ WARNING - Insurance Recommended as Value is over $250 threshold [Maximum Default AusPost cover is $100]",IF(AND($D$3&lt;250,$D$7&lt;&gt;"No"),"⚠️ WARNING - Insurance NOT Recommended as Value is under $250 threshold [Maximum Default AusPost cover is $100]",""))</f>
        <v/>
      </c>
      <c r="F7" s="67"/>
      <c r="G7" s="67"/>
      <c r="H7" s="67"/>
      <c r="I7" s="67"/>
    </row>
    <row r="8" spans="2:10" ht="17" thickBot="1" x14ac:dyDescent="0.25"/>
    <row r="9" spans="2:10" ht="9" customHeight="1" thickTop="1" x14ac:dyDescent="0.2">
      <c r="B9" s="55"/>
      <c r="C9" s="56"/>
      <c r="D9" s="56"/>
      <c r="E9" s="56"/>
      <c r="F9" s="56"/>
      <c r="G9" s="56"/>
      <c r="H9" s="56"/>
      <c r="I9" s="56"/>
      <c r="J9" s="57"/>
    </row>
    <row r="10" spans="2:10" x14ac:dyDescent="0.2">
      <c r="B10" s="58"/>
      <c r="C10" s="71" t="s">
        <v>76</v>
      </c>
      <c r="D10" s="73" t="str">
        <f>$D$6</f>
        <v>3-USA &amp; Canada</v>
      </c>
      <c r="E10" s="52">
        <v>1</v>
      </c>
      <c r="F10" s="52">
        <v>2</v>
      </c>
      <c r="G10" s="52">
        <v>3</v>
      </c>
      <c r="H10" s="52">
        <v>4</v>
      </c>
      <c r="I10" s="52">
        <v>5</v>
      </c>
      <c r="J10" s="59"/>
    </row>
    <row r="11" spans="2:10" x14ac:dyDescent="0.2">
      <c r="B11" s="58"/>
      <c r="C11" s="50" t="s">
        <v>61</v>
      </c>
      <c r="D11" s="73" t="str">
        <f>_xlfn.XLOOKUP(D4,WeightRanges,WeightBand,"ERR: Cannot match weight to band",0,1)</f>
        <v>Medium</v>
      </c>
      <c r="E11" s="53">
        <f>_xlfn.XLOOKUP($D$6&amp;"::"&amp;$D$11,PostalCost_International!$B$2:$B$24,PostalCost_International!K2:K24)</f>
        <v>40.891800000000003</v>
      </c>
      <c r="F11" s="53">
        <f>_xlfn.XLOOKUP($D$6&amp;"::"&amp;$D$11,PostalCost_International!$B$2:$B$24,PostalCost_International!L2:L24)</f>
        <v>36.587400000000002</v>
      </c>
      <c r="G11" s="53">
        <f>_xlfn.XLOOKUP($D$6&amp;"::"&amp;$D$11,PostalCost_International!$B$2:$B$24,PostalCost_International!M2:M24)</f>
        <v>35.511299999999999</v>
      </c>
      <c r="H11" s="53">
        <f>_xlfn.XLOOKUP($D$6&amp;"::"&amp;$D$11,PostalCost_International!$B$2:$B$24,PostalCost_International!N2:N24)</f>
        <v>34.435200000000002</v>
      </c>
      <c r="I11" s="53">
        <f>_xlfn.XLOOKUP($D$6&amp;"::"&amp;$D$11,PostalCost_International!$B$2:$B$24,PostalCost_International!O2:O24)</f>
        <v>33.359100000000005</v>
      </c>
      <c r="J11" s="59"/>
    </row>
    <row r="12" spans="2:10" x14ac:dyDescent="0.2">
      <c r="B12" s="58"/>
      <c r="C12" s="50" t="s">
        <v>73</v>
      </c>
      <c r="D12" s="50"/>
      <c r="E12" s="54">
        <f>($D3-100)/100*'Extra Cover'!$B$3*(1-'Extra Cover'!C$3)</f>
        <v>0.6</v>
      </c>
      <c r="F12" s="54">
        <f>($D3-100)/100*'Extra Cover'!$B$3*(1-'Extra Cover'!D$3)</f>
        <v>0.6</v>
      </c>
      <c r="G12" s="54">
        <f>($D3-100)/100*'Extra Cover'!$B$3*(1-'Extra Cover'!E$3)</f>
        <v>0.6</v>
      </c>
      <c r="H12" s="54">
        <f>($D3-100)/100*'Extra Cover'!$B$3*(1-'Extra Cover'!F$3)</f>
        <v>0.6</v>
      </c>
      <c r="I12" s="54">
        <f>($D3-100)/100*'Extra Cover'!$B$3*(1-'Extra Cover'!G$3)</f>
        <v>0.6</v>
      </c>
      <c r="J12" s="59"/>
    </row>
    <row r="13" spans="2:10" ht="17" thickBot="1" x14ac:dyDescent="0.25">
      <c r="B13" s="58"/>
      <c r="C13" s="46" t="str">
        <f>"Subtotal "&amp;IF(D7="No","[ No Excess Cover/Insurance ]"," [ With Excess Cover/Insurance ]")</f>
        <v>Subtotal [ No Excess Cover/Insurance ]</v>
      </c>
      <c r="D13" s="46"/>
      <c r="E13" s="48">
        <f>IF($D$7="Yes",SUM(E11:E12),E11)</f>
        <v>40.891800000000003</v>
      </c>
      <c r="F13" s="48">
        <f t="shared" ref="F13:I13" si="0">IF($D$7="Yes",SUM(F11:F12),F11)</f>
        <v>36.587400000000002</v>
      </c>
      <c r="G13" s="78">
        <f t="shared" si="0"/>
        <v>35.511299999999999</v>
      </c>
      <c r="H13" s="48">
        <f t="shared" si="0"/>
        <v>34.435200000000002</v>
      </c>
      <c r="I13" s="48">
        <f t="shared" si="0"/>
        <v>33.359100000000005</v>
      </c>
      <c r="J13" s="59"/>
    </row>
    <row r="14" spans="2:10" ht="17" thickTop="1" x14ac:dyDescent="0.2">
      <c r="B14" s="58"/>
      <c r="C14" s="50"/>
      <c r="D14" s="50"/>
      <c r="E14" s="50"/>
      <c r="F14" s="50"/>
      <c r="G14" s="50"/>
      <c r="H14" s="50"/>
      <c r="I14" s="50"/>
      <c r="J14" s="59"/>
    </row>
    <row r="15" spans="2:10" x14ac:dyDescent="0.2">
      <c r="B15" s="58"/>
      <c r="C15" s="50"/>
      <c r="D15" s="50"/>
      <c r="E15" s="50"/>
      <c r="F15" s="50"/>
      <c r="G15" s="50"/>
      <c r="H15" s="50"/>
      <c r="I15" s="50"/>
      <c r="J15" s="59"/>
    </row>
    <row r="16" spans="2:10" ht="19" x14ac:dyDescent="0.25">
      <c r="B16" s="58"/>
      <c r="C16" s="72" t="s">
        <v>93</v>
      </c>
      <c r="D16" s="74" t="s">
        <v>90</v>
      </c>
      <c r="E16" s="77" t="str">
        <f>_xlfn.XLOOKUP(D5,BrandCOOs!A2:A28,BrandCOOs!C2:C28,"ERR: Cannot match brand to COO",0,1)</f>
        <v>India</v>
      </c>
      <c r="F16" s="77"/>
      <c r="G16" s="77"/>
      <c r="H16" s="50"/>
      <c r="I16" s="50"/>
      <c r="J16" s="59"/>
    </row>
    <row r="17" spans="2:10" x14ac:dyDescent="0.2">
      <c r="B17" s="58"/>
      <c r="C17" s="50" t="s">
        <v>94</v>
      </c>
      <c r="D17" s="75">
        <f>_xlfn.XLOOKUP(E16,COOs,USA_Costs!C2:C9,"⚠️ ERR: Cannot match COO to Duty Cost",0,1)</f>
        <v>0.5</v>
      </c>
      <c r="E17" s="75"/>
      <c r="F17" s="51">
        <f>D3*D17</f>
        <v>62.5</v>
      </c>
      <c r="G17" s="50"/>
      <c r="H17" s="50"/>
      <c r="I17" s="50"/>
      <c r="J17" s="59"/>
    </row>
    <row r="18" spans="2:10" x14ac:dyDescent="0.2">
      <c r="B18" s="58"/>
      <c r="C18" s="50" t="s">
        <v>75</v>
      </c>
      <c r="D18" s="50"/>
      <c r="E18" s="50"/>
      <c r="F18" s="51">
        <f>(F17*ZonosProcessingChargePercentage)+ZonosProcessingChargeCostPerShipment</f>
        <v>7.9399999999999995</v>
      </c>
      <c r="G18" s="50"/>
      <c r="H18" s="50"/>
      <c r="I18" s="50"/>
      <c r="J18" s="59"/>
    </row>
    <row r="19" spans="2:10" ht="17" thickBot="1" x14ac:dyDescent="0.25">
      <c r="B19" s="58"/>
      <c r="C19" s="46" t="s">
        <v>77</v>
      </c>
      <c r="D19" s="46"/>
      <c r="E19" s="46"/>
      <c r="F19" s="47">
        <f>SUM(F17:F18)</f>
        <v>70.44</v>
      </c>
      <c r="G19" s="50"/>
      <c r="H19" s="50"/>
      <c r="I19" s="50"/>
      <c r="J19" s="59"/>
    </row>
    <row r="20" spans="2:10" ht="17" thickTop="1" x14ac:dyDescent="0.2">
      <c r="B20" s="58"/>
      <c r="C20" s="50"/>
      <c r="D20" s="50"/>
      <c r="E20" s="50"/>
      <c r="F20" s="50"/>
      <c r="G20" s="50"/>
      <c r="H20" s="50"/>
      <c r="I20" s="50"/>
      <c r="J20" s="59"/>
    </row>
    <row r="21" spans="2:10" ht="46" customHeight="1" thickBot="1" x14ac:dyDescent="0.3">
      <c r="B21" s="58"/>
      <c r="C21" s="66" t="str">
        <f>"Total Shipping"&amp;CHAR(10)&amp;IF(D7="No","[ No Excess Cover/Insurance ]","[ With Excess Cover/Insurance ]")</f>
        <v>Total Shipping
[ No Excess Cover/Insurance ]</v>
      </c>
      <c r="D21" s="66"/>
      <c r="E21" s="49">
        <f>E13+IF($D$6="3-USA &amp; Canada",$F$19,0)</f>
        <v>111.3318</v>
      </c>
      <c r="F21" s="49">
        <f t="shared" ref="F21:I21" si="1">F13+IF($D$6="3-USA &amp; Canada",$F$19,0)</f>
        <v>107.0274</v>
      </c>
      <c r="G21" s="76">
        <f t="shared" si="1"/>
        <v>105.9513</v>
      </c>
      <c r="H21" s="49">
        <f t="shared" si="1"/>
        <v>104.87520000000001</v>
      </c>
      <c r="I21" s="49">
        <f t="shared" si="1"/>
        <v>103.79910000000001</v>
      </c>
      <c r="J21" s="59"/>
    </row>
    <row r="22" spans="2:10" ht="18" thickTop="1" thickBot="1" x14ac:dyDescent="0.25">
      <c r="B22" s="60"/>
      <c r="C22" s="61"/>
      <c r="D22" s="61"/>
      <c r="E22" s="61"/>
      <c r="F22" s="61"/>
      <c r="G22" s="61"/>
      <c r="H22" s="61"/>
      <c r="I22" s="61"/>
      <c r="J22" s="62"/>
    </row>
  </sheetData>
  <sheetProtection sheet="1" objects="1" scenarios="1"/>
  <mergeCells count="5">
    <mergeCell ref="C1:I1"/>
    <mergeCell ref="C21:D21"/>
    <mergeCell ref="E7:I7"/>
    <mergeCell ref="D17:E17"/>
    <mergeCell ref="E16:G16"/>
  </mergeCells>
  <conditionalFormatting sqref="C12:I12">
    <cfRule type="expression" dxfId="1" priority="2">
      <formula>$D$7="No"</formula>
    </cfRule>
  </conditionalFormatting>
  <conditionalFormatting sqref="C16:I19">
    <cfRule type="expression" dxfId="0" priority="1">
      <formula>$D$6&lt;&gt;"3-USA &amp; Canada"</formula>
    </cfRule>
  </conditionalFormatting>
  <dataValidations count="4">
    <dataValidation type="list" allowBlank="1" showInputMessage="1" showErrorMessage="1" sqref="D5" xr:uid="{2FF5B382-6474-B74D-A9D1-B4007A543B55}">
      <formula1>BrandList</formula1>
    </dataValidation>
    <dataValidation type="list" allowBlank="1" showInputMessage="1" showErrorMessage="1" sqref="D4" xr:uid="{414A8629-749A-FB4E-98BB-441D955A4CB3}">
      <formula1>WeightRanges</formula1>
    </dataValidation>
    <dataValidation type="list" allowBlank="1" showInputMessage="1" showErrorMessage="1" sqref="D6" xr:uid="{3E2E672E-A1F0-0C4A-AD15-EBBE0850F7DC}">
      <formula1>DestinationZones</formula1>
    </dataValidation>
    <dataValidation type="list" allowBlank="1" showInputMessage="1" showErrorMessage="1" sqref="D7" xr:uid="{6E310F93-98EF-E349-B844-F437CC4EA7D5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4F5B-47EA-614C-BF29-0636FA1C0DEA}">
  <sheetPr>
    <tabColor rgb="FFC00000"/>
  </sheetPr>
  <dimension ref="A1:Q39"/>
  <sheetViews>
    <sheetView topLeftCell="D1" zoomScale="178" workbookViewId="0">
      <pane ySplit="1" topLeftCell="A5" activePane="bottomLeft" state="frozen"/>
      <selection activeCell="D1" sqref="D1"/>
      <selection pane="bottomLeft" activeCell="G21" sqref="G21"/>
    </sheetView>
  </sheetViews>
  <sheetFormatPr baseColWidth="10" defaultRowHeight="16" x14ac:dyDescent="0.2"/>
  <cols>
    <col min="1" max="1" width="14.33203125" hidden="1" customWidth="1"/>
    <col min="2" max="2" width="13.5" hidden="1" customWidth="1"/>
    <col min="3" max="3" width="14.1640625" hidden="1" customWidth="1"/>
    <col min="5" max="5" width="15.5" customWidth="1"/>
    <col min="6" max="6" width="9.5" customWidth="1"/>
    <col min="9" max="9" width="13.33203125" customWidth="1"/>
    <col min="10" max="10" width="8.83203125" customWidth="1"/>
  </cols>
  <sheetData>
    <row r="1" spans="1:17" ht="39" customHeight="1" x14ac:dyDescent="0.2">
      <c r="A1" s="21" t="s">
        <v>79</v>
      </c>
      <c r="B1" s="21" t="s">
        <v>81</v>
      </c>
      <c r="C1" s="21" t="s">
        <v>82</v>
      </c>
      <c r="D1" s="21" t="s">
        <v>0</v>
      </c>
      <c r="E1" s="21" t="s">
        <v>60</v>
      </c>
      <c r="F1" s="21" t="s">
        <v>62</v>
      </c>
      <c r="G1" s="21" t="s">
        <v>7</v>
      </c>
      <c r="H1" s="21" t="s">
        <v>12</v>
      </c>
      <c r="I1" s="22" t="s">
        <v>63</v>
      </c>
      <c r="J1" s="22" t="s">
        <v>66</v>
      </c>
      <c r="K1" s="21" t="s">
        <v>2</v>
      </c>
      <c r="L1" s="21" t="s">
        <v>3</v>
      </c>
      <c r="M1" s="21" t="s">
        <v>4</v>
      </c>
      <c r="N1" s="21" t="s">
        <v>5</v>
      </c>
      <c r="O1" s="21" t="s">
        <v>6</v>
      </c>
      <c r="Q1" s="28" t="s">
        <v>67</v>
      </c>
    </row>
    <row r="2" spans="1:17" ht="19" x14ac:dyDescent="0.25">
      <c r="A2" s="27" t="str">
        <f>IF(ISBLANK(D2),"",D2&amp;"-"&amp;E2)</f>
        <v>3-USA &amp; Canada</v>
      </c>
      <c r="B2" s="27" t="str">
        <f>IF(ISBLANK(G2),"",A2&amp;"::"&amp;G2)</f>
        <v/>
      </c>
      <c r="C2" s="27"/>
      <c r="D2" s="27">
        <v>3</v>
      </c>
      <c r="E2" s="27" t="s">
        <v>1</v>
      </c>
      <c r="F2" s="26"/>
      <c r="G2" s="26"/>
      <c r="H2" s="26"/>
      <c r="I2" s="23"/>
      <c r="J2" s="23">
        <v>0.02</v>
      </c>
      <c r="K2" s="24">
        <v>0.05</v>
      </c>
      <c r="L2" s="24">
        <v>0.15</v>
      </c>
      <c r="M2" s="25">
        <v>0.17499999999999999</v>
      </c>
      <c r="N2" s="24">
        <v>0.2</v>
      </c>
      <c r="O2" s="25">
        <v>0.22500000000000001</v>
      </c>
    </row>
    <row r="3" spans="1:17" ht="19" x14ac:dyDescent="0.25">
      <c r="A3" s="27" t="str">
        <f>IF(ISBLANK(D3),"",D3&amp;"-"&amp;E3)</f>
        <v>3-USA &amp; Canada</v>
      </c>
      <c r="B3" s="27" t="str">
        <f t="shared" ref="B3:B24" si="0">IF(ISBLANK(G3),"",A3&amp;"::"&amp;G3)</f>
        <v>3-USA &amp; Canada::XSmall</v>
      </c>
      <c r="C3" s="27" t="str">
        <f>IF(ISBLANK(G3),"",G3&amp;" ["&amp;H3&amp;"]")</f>
        <v>XSmall [&lt; 250g]</v>
      </c>
      <c r="D3" s="27">
        <v>3</v>
      </c>
      <c r="E3" s="27" t="s">
        <v>1</v>
      </c>
      <c r="F3" t="s">
        <v>61</v>
      </c>
      <c r="G3" t="s">
        <v>97</v>
      </c>
      <c r="H3" t="s">
        <v>8</v>
      </c>
      <c r="I3" s="1">
        <v>22.3</v>
      </c>
      <c r="J3" s="1">
        <f>I3*(1+J$2)</f>
        <v>22.746000000000002</v>
      </c>
      <c r="K3" s="1">
        <f>$J3*(1-K$2)</f>
        <v>21.608700000000002</v>
      </c>
      <c r="L3" s="1">
        <f t="shared" ref="L3:O3" si="1">$J3*(1-L$2)</f>
        <v>19.334100000000003</v>
      </c>
      <c r="M3" s="1">
        <f t="shared" si="1"/>
        <v>18.765450000000001</v>
      </c>
      <c r="N3" s="1">
        <f t="shared" si="1"/>
        <v>18.196800000000003</v>
      </c>
      <c r="O3" s="1">
        <f t="shared" si="1"/>
        <v>17.628150000000002</v>
      </c>
    </row>
    <row r="4" spans="1:17" ht="19" x14ac:dyDescent="0.25">
      <c r="A4" s="27" t="str">
        <f>IF(ISBLANK(D4),"",D4&amp;"-"&amp;E4)</f>
        <v>3-USA &amp; Canada</v>
      </c>
      <c r="B4" s="27" t="str">
        <f t="shared" si="0"/>
        <v>3-USA &amp; Canada::Small</v>
      </c>
      <c r="C4" s="27" t="str">
        <f t="shared" ref="C4:C33" si="2">IF(ISBLANK(G4),"",G4&amp;" ["&amp;H4&amp;"]")</f>
        <v>Small [250 - 500g]</v>
      </c>
      <c r="D4" s="27">
        <v>3</v>
      </c>
      <c r="E4" s="27" t="s">
        <v>1</v>
      </c>
      <c r="F4" t="s">
        <v>61</v>
      </c>
      <c r="G4" t="s">
        <v>13</v>
      </c>
      <c r="H4" t="s">
        <v>9</v>
      </c>
      <c r="I4" s="1">
        <v>29</v>
      </c>
      <c r="J4" s="1">
        <f t="shared" ref="J4:J7" si="3">I4*(1+J$2)</f>
        <v>29.580000000000002</v>
      </c>
      <c r="K4" s="1">
        <f t="shared" ref="K4:O7" si="4">$J4*(1-K$2)</f>
        <v>28.100999999999999</v>
      </c>
      <c r="L4" s="1">
        <f t="shared" si="4"/>
        <v>25.143000000000001</v>
      </c>
      <c r="M4" s="1">
        <f t="shared" si="4"/>
        <v>24.403500000000001</v>
      </c>
      <c r="N4" s="1">
        <f t="shared" si="4"/>
        <v>23.664000000000001</v>
      </c>
      <c r="O4" s="1">
        <f t="shared" si="4"/>
        <v>22.924500000000002</v>
      </c>
    </row>
    <row r="5" spans="1:17" ht="19" x14ac:dyDescent="0.25">
      <c r="A5" s="27" t="str">
        <f>IF(ISBLANK(D5),"",D5&amp;"-"&amp;E5)</f>
        <v>3-USA &amp; Canada</v>
      </c>
      <c r="B5" s="27" t="str">
        <f t="shared" si="0"/>
        <v>3-USA &amp; Canada::Medium</v>
      </c>
      <c r="C5" s="27" t="str">
        <f t="shared" si="2"/>
        <v>Medium [500 - 1kg]</v>
      </c>
      <c r="D5" s="27">
        <v>3</v>
      </c>
      <c r="E5" s="27" t="s">
        <v>1</v>
      </c>
      <c r="F5" t="s">
        <v>61</v>
      </c>
      <c r="G5" t="s">
        <v>14</v>
      </c>
      <c r="H5" t="s">
        <v>10</v>
      </c>
      <c r="I5" s="1">
        <v>42.2</v>
      </c>
      <c r="J5" s="1">
        <f t="shared" si="3"/>
        <v>43.044000000000004</v>
      </c>
      <c r="K5" s="1">
        <f t="shared" si="4"/>
        <v>40.891800000000003</v>
      </c>
      <c r="L5" s="1">
        <f t="shared" si="4"/>
        <v>36.587400000000002</v>
      </c>
      <c r="M5" s="1">
        <f t="shared" si="4"/>
        <v>35.511299999999999</v>
      </c>
      <c r="N5" s="1">
        <f t="shared" si="4"/>
        <v>34.435200000000002</v>
      </c>
      <c r="O5" s="1">
        <f t="shared" si="4"/>
        <v>33.359100000000005</v>
      </c>
    </row>
    <row r="6" spans="1:17" ht="19" x14ac:dyDescent="0.25">
      <c r="A6" s="27" t="str">
        <f>IF(ISBLANK(D6),"",D6&amp;"-"&amp;E6)</f>
        <v>3-USA &amp; Canada</v>
      </c>
      <c r="B6" s="27" t="str">
        <f t="shared" si="0"/>
        <v>3-USA &amp; Canada::Large</v>
      </c>
      <c r="C6" s="27" t="str">
        <f t="shared" si="2"/>
        <v>Large [1 - 1.5kg]</v>
      </c>
      <c r="D6" s="27">
        <v>3</v>
      </c>
      <c r="E6" s="27" t="s">
        <v>1</v>
      </c>
      <c r="F6" t="s">
        <v>61</v>
      </c>
      <c r="G6" t="s">
        <v>15</v>
      </c>
      <c r="H6" t="s">
        <v>11</v>
      </c>
      <c r="I6" s="1">
        <v>55.55</v>
      </c>
      <c r="J6" s="1">
        <f t="shared" si="3"/>
        <v>56.661000000000001</v>
      </c>
      <c r="K6" s="1">
        <f t="shared" si="4"/>
        <v>53.827950000000001</v>
      </c>
      <c r="L6" s="1">
        <f t="shared" si="4"/>
        <v>48.161850000000001</v>
      </c>
      <c r="M6" s="1">
        <f t="shared" si="4"/>
        <v>46.745325000000001</v>
      </c>
      <c r="N6" s="1">
        <f t="shared" si="4"/>
        <v>45.328800000000001</v>
      </c>
      <c r="O6" s="1">
        <f t="shared" si="4"/>
        <v>43.912275000000001</v>
      </c>
    </row>
    <row r="7" spans="1:17" ht="19" x14ac:dyDescent="0.25">
      <c r="A7" s="27" t="str">
        <f>IF(ISBLANK(D7),"",D7&amp;"-"&amp;E7)</f>
        <v>3-USA &amp; Canada</v>
      </c>
      <c r="B7" s="27" t="str">
        <f t="shared" si="0"/>
        <v>3-USA &amp; Canada::XLarge</v>
      </c>
      <c r="C7" s="27" t="str">
        <f t="shared" si="2"/>
        <v>XLarge [1.5kg - 2kg]</v>
      </c>
      <c r="D7" s="27">
        <v>3</v>
      </c>
      <c r="E7" s="27" t="s">
        <v>1</v>
      </c>
      <c r="F7" t="s">
        <v>61</v>
      </c>
      <c r="G7" t="s">
        <v>28</v>
      </c>
      <c r="H7" t="s">
        <v>71</v>
      </c>
      <c r="I7" s="1">
        <v>68.849999999999994</v>
      </c>
      <c r="J7" s="1">
        <f t="shared" si="3"/>
        <v>70.22699999999999</v>
      </c>
      <c r="K7" s="1">
        <f t="shared" si="4"/>
        <v>66.715649999999982</v>
      </c>
      <c r="L7" s="1">
        <f t="shared" si="4"/>
        <v>59.692949999999989</v>
      </c>
      <c r="M7" s="1">
        <f t="shared" si="4"/>
        <v>57.937274999999985</v>
      </c>
      <c r="N7" s="1">
        <f t="shared" si="4"/>
        <v>56.181599999999996</v>
      </c>
      <c r="O7" s="1">
        <f t="shared" si="4"/>
        <v>54.425924999999992</v>
      </c>
    </row>
    <row r="8" spans="1:17" ht="19" x14ac:dyDescent="0.25">
      <c r="A8" s="27" t="str">
        <f>IF(ISBLANK(D8),"",D8&amp;"-"&amp;E8)</f>
        <v>4-UK &amp; Ireland</v>
      </c>
      <c r="B8" s="27" t="str">
        <f t="shared" si="0"/>
        <v/>
      </c>
      <c r="C8" s="27" t="str">
        <f t="shared" si="2"/>
        <v/>
      </c>
      <c r="D8" s="27">
        <v>4</v>
      </c>
      <c r="E8" s="27" t="s">
        <v>59</v>
      </c>
      <c r="F8" s="26"/>
      <c r="G8" s="26"/>
      <c r="H8" s="26"/>
      <c r="I8" s="23"/>
      <c r="J8" s="23">
        <v>0.02</v>
      </c>
      <c r="K8" s="24">
        <v>0.05</v>
      </c>
      <c r="L8" s="24">
        <v>0.15</v>
      </c>
      <c r="M8" s="25">
        <v>0.17499999999999999</v>
      </c>
      <c r="N8" s="24">
        <v>0.2</v>
      </c>
      <c r="O8" s="25">
        <v>0.22500000000000001</v>
      </c>
    </row>
    <row r="9" spans="1:17" ht="19" x14ac:dyDescent="0.25">
      <c r="A9" s="27" t="str">
        <f>IF(ISBLANK(D9),"",D9&amp;"-"&amp;E9)</f>
        <v>4-UK &amp; Ireland</v>
      </c>
      <c r="B9" s="27" t="str">
        <f t="shared" si="0"/>
        <v>4-UK &amp; Ireland::XSmall</v>
      </c>
      <c r="C9" s="27" t="str">
        <f t="shared" si="2"/>
        <v>XSmall [&lt; 250g]</v>
      </c>
      <c r="D9" s="27">
        <v>4</v>
      </c>
      <c r="E9" s="27" t="s">
        <v>59</v>
      </c>
      <c r="F9" t="s">
        <v>61</v>
      </c>
      <c r="G9" t="s">
        <v>97</v>
      </c>
      <c r="H9" t="s">
        <v>8</v>
      </c>
      <c r="I9" s="1">
        <v>27.5</v>
      </c>
      <c r="J9" s="1">
        <f>I9*(1+J$8)</f>
        <v>28.05</v>
      </c>
      <c r="K9" s="1">
        <f>$J9*(1-K$8)</f>
        <v>26.647500000000001</v>
      </c>
      <c r="L9" s="1">
        <f t="shared" ref="L9:O13" si="5">$J9*(1-L$8)</f>
        <v>23.842500000000001</v>
      </c>
      <c r="M9" s="1">
        <f t="shared" si="5"/>
        <v>23.141249999999999</v>
      </c>
      <c r="N9" s="1">
        <f t="shared" si="5"/>
        <v>22.44</v>
      </c>
      <c r="O9" s="1">
        <f t="shared" si="5"/>
        <v>21.73875</v>
      </c>
    </row>
    <row r="10" spans="1:17" ht="19" x14ac:dyDescent="0.25">
      <c r="A10" s="27" t="str">
        <f>IF(ISBLANK(D10),"",D10&amp;"-"&amp;E10)</f>
        <v>4-UK &amp; Ireland</v>
      </c>
      <c r="B10" s="27" t="str">
        <f t="shared" si="0"/>
        <v>4-UK &amp; Ireland::Small</v>
      </c>
      <c r="C10" s="27" t="str">
        <f t="shared" si="2"/>
        <v>Small [250 - 500g]</v>
      </c>
      <c r="D10" s="27">
        <v>4</v>
      </c>
      <c r="E10" s="27" t="s">
        <v>59</v>
      </c>
      <c r="F10" t="s">
        <v>61</v>
      </c>
      <c r="G10" t="s">
        <v>13</v>
      </c>
      <c r="H10" t="s">
        <v>9</v>
      </c>
      <c r="I10" s="1">
        <f>34.4</f>
        <v>34.4</v>
      </c>
      <c r="J10" s="1">
        <f t="shared" ref="J10:J13" si="6">I10*(1+J$8)</f>
        <v>35.088000000000001</v>
      </c>
      <c r="K10" s="1">
        <f t="shared" ref="K10:K13" si="7">$J10*(1-K$8)</f>
        <v>33.333599999999997</v>
      </c>
      <c r="L10" s="1">
        <f t="shared" si="5"/>
        <v>29.8248</v>
      </c>
      <c r="M10" s="1">
        <f t="shared" si="5"/>
        <v>28.947599999999998</v>
      </c>
      <c r="N10" s="1">
        <f t="shared" si="5"/>
        <v>28.070400000000003</v>
      </c>
      <c r="O10" s="1">
        <f t="shared" si="5"/>
        <v>27.193200000000001</v>
      </c>
    </row>
    <row r="11" spans="1:17" ht="19" x14ac:dyDescent="0.25">
      <c r="A11" s="27" t="str">
        <f>IF(ISBLANK(D11),"",D11&amp;"-"&amp;E11)</f>
        <v>4-UK &amp; Ireland</v>
      </c>
      <c r="B11" s="27" t="str">
        <f t="shared" si="0"/>
        <v>4-UK &amp; Ireland::Medium</v>
      </c>
      <c r="C11" s="27" t="str">
        <f t="shared" si="2"/>
        <v>Medium [500 - 1kg]</v>
      </c>
      <c r="D11" s="27">
        <v>4</v>
      </c>
      <c r="E11" s="27" t="s">
        <v>59</v>
      </c>
      <c r="F11" t="s">
        <v>61</v>
      </c>
      <c r="G11" t="s">
        <v>14</v>
      </c>
      <c r="H11" t="s">
        <v>10</v>
      </c>
      <c r="I11" s="1">
        <v>48.3</v>
      </c>
      <c r="J11" s="1">
        <f t="shared" si="6"/>
        <v>49.265999999999998</v>
      </c>
      <c r="K11" s="1">
        <f t="shared" si="7"/>
        <v>46.802699999999994</v>
      </c>
      <c r="L11" s="1">
        <f t="shared" si="5"/>
        <v>41.876099999999994</v>
      </c>
      <c r="M11" s="1">
        <f t="shared" si="5"/>
        <v>40.644449999999999</v>
      </c>
      <c r="N11" s="1">
        <f t="shared" si="5"/>
        <v>39.412800000000004</v>
      </c>
      <c r="O11" s="1">
        <f t="shared" si="5"/>
        <v>38.181150000000002</v>
      </c>
    </row>
    <row r="12" spans="1:17" ht="19" x14ac:dyDescent="0.25">
      <c r="A12" s="27" t="str">
        <f>IF(ISBLANK(D12),"",D12&amp;"-"&amp;E12)</f>
        <v>4-UK &amp; Ireland</v>
      </c>
      <c r="B12" s="27" t="str">
        <f t="shared" si="0"/>
        <v>4-UK &amp; Ireland::Large</v>
      </c>
      <c r="C12" s="27" t="str">
        <f t="shared" si="2"/>
        <v>Large [1 - 1.5kg]</v>
      </c>
      <c r="D12" s="27">
        <v>4</v>
      </c>
      <c r="E12" s="27" t="s">
        <v>59</v>
      </c>
      <c r="F12" t="s">
        <v>61</v>
      </c>
      <c r="G12" t="s">
        <v>15</v>
      </c>
      <c r="H12" t="s">
        <v>11</v>
      </c>
      <c r="I12" s="1">
        <v>62.15</v>
      </c>
      <c r="J12" s="1">
        <f t="shared" si="6"/>
        <v>63.393000000000001</v>
      </c>
      <c r="K12" s="1">
        <f t="shared" si="7"/>
        <v>60.223349999999996</v>
      </c>
      <c r="L12" s="1">
        <f t="shared" si="5"/>
        <v>53.884050000000002</v>
      </c>
      <c r="M12" s="1">
        <f t="shared" si="5"/>
        <v>52.299225</v>
      </c>
      <c r="N12" s="1">
        <f t="shared" si="5"/>
        <v>50.714400000000005</v>
      </c>
      <c r="O12" s="1">
        <f t="shared" si="5"/>
        <v>49.129575000000003</v>
      </c>
    </row>
    <row r="13" spans="1:17" ht="19" x14ac:dyDescent="0.25">
      <c r="A13" s="27"/>
      <c r="B13" s="27"/>
      <c r="C13" s="27"/>
      <c r="D13" s="27">
        <v>4</v>
      </c>
      <c r="E13" s="27" t="s">
        <v>59</v>
      </c>
      <c r="F13" t="s">
        <v>61</v>
      </c>
      <c r="G13" t="s">
        <v>28</v>
      </c>
      <c r="H13" t="s">
        <v>71</v>
      </c>
      <c r="I13" s="1">
        <v>76</v>
      </c>
      <c r="J13" s="1">
        <f t="shared" si="6"/>
        <v>77.52</v>
      </c>
      <c r="K13" s="1">
        <f t="shared" si="7"/>
        <v>73.643999999999991</v>
      </c>
      <c r="L13" s="1">
        <f t="shared" si="5"/>
        <v>65.891999999999996</v>
      </c>
      <c r="M13" s="1">
        <f t="shared" si="5"/>
        <v>63.953999999999994</v>
      </c>
      <c r="N13" s="1">
        <f t="shared" si="5"/>
        <v>62.015999999999998</v>
      </c>
      <c r="O13" s="1">
        <f t="shared" si="5"/>
        <v>60.077999999999996</v>
      </c>
    </row>
    <row r="14" spans="1:17" ht="19" x14ac:dyDescent="0.25">
      <c r="A14" s="27" t="str">
        <f>IF(ISBLANK(D14),"",D14&amp;"-"&amp;E14)</f>
        <v>4-Major EU</v>
      </c>
      <c r="B14" s="27" t="str">
        <f t="shared" si="0"/>
        <v/>
      </c>
      <c r="C14" s="27" t="str">
        <f t="shared" si="2"/>
        <v/>
      </c>
      <c r="D14" s="27">
        <v>4</v>
      </c>
      <c r="E14" s="27" t="s">
        <v>64</v>
      </c>
      <c r="F14" s="26"/>
      <c r="G14" s="26"/>
      <c r="H14" s="26"/>
      <c r="I14" s="23"/>
      <c r="J14" s="23">
        <v>0.02</v>
      </c>
      <c r="K14" s="24">
        <v>0.05</v>
      </c>
      <c r="L14" s="24">
        <v>0.1</v>
      </c>
      <c r="M14" s="25">
        <v>0.125</v>
      </c>
      <c r="N14" s="24">
        <v>0.15</v>
      </c>
      <c r="O14" s="25">
        <v>0.17499999999999999</v>
      </c>
    </row>
    <row r="15" spans="1:17" ht="19" x14ac:dyDescent="0.25">
      <c r="A15" s="27" t="str">
        <f>IF(ISBLANK(D15),"",D15&amp;"-"&amp;E15)</f>
        <v>4-Major EU</v>
      </c>
      <c r="B15" s="27" t="str">
        <f t="shared" si="0"/>
        <v>4-Major EU::XSmall</v>
      </c>
      <c r="C15" s="27" t="str">
        <f t="shared" si="2"/>
        <v>XSmall [&lt; 250g]</v>
      </c>
      <c r="D15" s="27">
        <v>4</v>
      </c>
      <c r="E15" s="27" t="s">
        <v>64</v>
      </c>
      <c r="F15" t="s">
        <v>61</v>
      </c>
      <c r="G15" t="s">
        <v>97</v>
      </c>
      <c r="H15" t="s">
        <v>8</v>
      </c>
      <c r="I15" s="1">
        <v>27.5</v>
      </c>
      <c r="J15" s="1">
        <f>I15*(1+J$14)</f>
        <v>28.05</v>
      </c>
      <c r="K15" s="1">
        <f>$J15*(1-K$14)</f>
        <v>26.647500000000001</v>
      </c>
      <c r="L15" s="1">
        <f t="shared" ref="L15:O15" si="8">$J15*(1-L$14)</f>
        <v>25.245000000000001</v>
      </c>
      <c r="M15" s="1">
        <f t="shared" si="8"/>
        <v>24.543749999999999</v>
      </c>
      <c r="N15" s="1">
        <f t="shared" si="8"/>
        <v>23.842500000000001</v>
      </c>
      <c r="O15" s="1">
        <f t="shared" si="8"/>
        <v>23.141249999999999</v>
      </c>
    </row>
    <row r="16" spans="1:17" ht="19" x14ac:dyDescent="0.25">
      <c r="A16" s="27" t="str">
        <f>IF(ISBLANK(D16),"",D16&amp;"-"&amp;E16)</f>
        <v>4-Major EU</v>
      </c>
      <c r="B16" s="27" t="str">
        <f t="shared" si="0"/>
        <v>4-Major EU::Small</v>
      </c>
      <c r="C16" s="27" t="str">
        <f t="shared" si="2"/>
        <v>Small [250 - 500g]</v>
      </c>
      <c r="D16" s="27">
        <v>4</v>
      </c>
      <c r="E16" s="27" t="s">
        <v>64</v>
      </c>
      <c r="F16" t="s">
        <v>61</v>
      </c>
      <c r="G16" t="s">
        <v>13</v>
      </c>
      <c r="H16" t="s">
        <v>9</v>
      </c>
      <c r="I16" s="1">
        <f>34.4</f>
        <v>34.4</v>
      </c>
      <c r="J16" s="1">
        <f t="shared" ref="J16:J19" si="9">I16*(1+J$14)</f>
        <v>35.088000000000001</v>
      </c>
      <c r="K16" s="1">
        <f t="shared" ref="K16:O19" si="10">$J16*(1-K$14)</f>
        <v>33.333599999999997</v>
      </c>
      <c r="L16" s="1">
        <f t="shared" si="10"/>
        <v>31.5792</v>
      </c>
      <c r="M16" s="1">
        <f t="shared" si="10"/>
        <v>30.702000000000002</v>
      </c>
      <c r="N16" s="1">
        <f t="shared" si="10"/>
        <v>29.8248</v>
      </c>
      <c r="O16" s="1">
        <f t="shared" si="10"/>
        <v>28.947599999999998</v>
      </c>
    </row>
    <row r="17" spans="1:15" ht="19" x14ac:dyDescent="0.25">
      <c r="A17" s="27" t="str">
        <f>IF(ISBLANK(D17),"",D17&amp;"-"&amp;E17)</f>
        <v>4-Major EU</v>
      </c>
      <c r="B17" s="27" t="str">
        <f t="shared" si="0"/>
        <v>4-Major EU::Medium</v>
      </c>
      <c r="C17" s="27" t="str">
        <f t="shared" si="2"/>
        <v>Medium [500 - 1kg]</v>
      </c>
      <c r="D17" s="27">
        <v>4</v>
      </c>
      <c r="E17" s="27" t="s">
        <v>64</v>
      </c>
      <c r="F17" t="s">
        <v>61</v>
      </c>
      <c r="G17" t="s">
        <v>14</v>
      </c>
      <c r="H17" t="s">
        <v>10</v>
      </c>
      <c r="I17" s="1">
        <v>48.3</v>
      </c>
      <c r="J17" s="1">
        <f t="shared" si="9"/>
        <v>49.265999999999998</v>
      </c>
      <c r="K17" s="1">
        <f t="shared" si="10"/>
        <v>46.802699999999994</v>
      </c>
      <c r="L17" s="1">
        <f t="shared" si="10"/>
        <v>44.339399999999998</v>
      </c>
      <c r="M17" s="1">
        <f t="shared" si="10"/>
        <v>43.107749999999996</v>
      </c>
      <c r="N17" s="1">
        <f t="shared" si="10"/>
        <v>41.876099999999994</v>
      </c>
      <c r="O17" s="1">
        <f t="shared" si="10"/>
        <v>40.644449999999999</v>
      </c>
    </row>
    <row r="18" spans="1:15" ht="19" x14ac:dyDescent="0.25">
      <c r="A18" s="27" t="str">
        <f>IF(ISBLANK(D18),"",D18&amp;"-"&amp;E18)</f>
        <v>4-Major EU</v>
      </c>
      <c r="B18" s="27" t="str">
        <f t="shared" si="0"/>
        <v>4-Major EU::Large</v>
      </c>
      <c r="C18" s="27" t="str">
        <f t="shared" si="2"/>
        <v>Large [1 - 1.5kg]</v>
      </c>
      <c r="D18" s="27">
        <v>4</v>
      </c>
      <c r="E18" s="27" t="s">
        <v>64</v>
      </c>
      <c r="F18" t="s">
        <v>61</v>
      </c>
      <c r="G18" t="s">
        <v>15</v>
      </c>
      <c r="H18" t="s">
        <v>11</v>
      </c>
      <c r="I18" s="1">
        <v>62.15</v>
      </c>
      <c r="J18" s="1">
        <f t="shared" si="9"/>
        <v>63.393000000000001</v>
      </c>
      <c r="K18" s="1">
        <f t="shared" si="10"/>
        <v>60.223349999999996</v>
      </c>
      <c r="L18" s="1">
        <f t="shared" si="10"/>
        <v>57.053699999999999</v>
      </c>
      <c r="M18" s="1">
        <f t="shared" si="10"/>
        <v>55.468874999999997</v>
      </c>
      <c r="N18" s="1">
        <f t="shared" si="10"/>
        <v>53.884050000000002</v>
      </c>
      <c r="O18" s="1">
        <f t="shared" si="10"/>
        <v>52.299225</v>
      </c>
    </row>
    <row r="19" spans="1:15" ht="19" x14ac:dyDescent="0.25">
      <c r="A19" s="27"/>
      <c r="B19" s="27"/>
      <c r="C19" s="27"/>
      <c r="D19" s="27">
        <v>4</v>
      </c>
      <c r="E19" s="27" t="s">
        <v>64</v>
      </c>
      <c r="F19" t="s">
        <v>61</v>
      </c>
      <c r="G19" t="s">
        <v>28</v>
      </c>
      <c r="H19" t="s">
        <v>71</v>
      </c>
      <c r="I19" s="1">
        <v>76</v>
      </c>
      <c r="J19" s="1">
        <f t="shared" si="9"/>
        <v>77.52</v>
      </c>
      <c r="K19" s="1">
        <f t="shared" si="10"/>
        <v>73.643999999999991</v>
      </c>
      <c r="L19" s="1">
        <f t="shared" si="10"/>
        <v>69.768000000000001</v>
      </c>
      <c r="M19" s="1">
        <f t="shared" si="10"/>
        <v>67.83</v>
      </c>
      <c r="N19" s="1">
        <f t="shared" si="10"/>
        <v>65.891999999999996</v>
      </c>
      <c r="O19" s="1">
        <f t="shared" si="10"/>
        <v>63.953999999999994</v>
      </c>
    </row>
    <row r="20" spans="1:15" ht="19" x14ac:dyDescent="0.25">
      <c r="A20" s="27" t="str">
        <f>IF(ISBLANK(D20),"",D20&amp;"-"&amp;E20)</f>
        <v>1-New Zealand</v>
      </c>
      <c r="B20" s="27" t="str">
        <f>IF(ISBLANK(G20),"",A20&amp;"::"&amp;G20)</f>
        <v/>
      </c>
      <c r="C20" s="27" t="str">
        <f t="shared" si="2"/>
        <v/>
      </c>
      <c r="D20" s="27">
        <v>1</v>
      </c>
      <c r="E20" s="27" t="s">
        <v>69</v>
      </c>
      <c r="F20" s="26"/>
      <c r="G20" s="26"/>
      <c r="H20" s="26"/>
      <c r="I20" s="23"/>
      <c r="J20" s="23">
        <v>0.02</v>
      </c>
      <c r="K20" s="24">
        <v>0.05</v>
      </c>
      <c r="L20" s="24">
        <v>0.2</v>
      </c>
      <c r="M20" s="25">
        <v>0.25</v>
      </c>
      <c r="N20" s="24">
        <v>0.3</v>
      </c>
      <c r="O20" s="25">
        <v>0.35</v>
      </c>
    </row>
    <row r="21" spans="1:15" ht="19" x14ac:dyDescent="0.25">
      <c r="A21" s="27" t="str">
        <f>IF(ISBLANK(D21),"",D21&amp;"-"&amp;E21)</f>
        <v>1-New Zealand</v>
      </c>
      <c r="B21" s="27" t="str">
        <f t="shared" si="0"/>
        <v>1-New Zealand::XSmall</v>
      </c>
      <c r="C21" s="27" t="str">
        <f t="shared" si="2"/>
        <v>XSmall [&lt; 250g]</v>
      </c>
      <c r="D21" s="27">
        <v>1</v>
      </c>
      <c r="E21" s="27" t="s">
        <v>69</v>
      </c>
      <c r="F21" t="s">
        <v>61</v>
      </c>
      <c r="G21" t="s">
        <v>97</v>
      </c>
      <c r="H21" t="s">
        <v>8</v>
      </c>
      <c r="I21" s="1">
        <v>16.3</v>
      </c>
      <c r="J21" s="1">
        <f>I21*(1+J$20)</f>
        <v>16.626000000000001</v>
      </c>
      <c r="K21" s="1">
        <f>$J21*(1-K$20)</f>
        <v>15.794700000000001</v>
      </c>
      <c r="L21" s="1">
        <f t="shared" ref="L21:O21" si="11">$J21*(1-L$20)</f>
        <v>13.300800000000002</v>
      </c>
      <c r="M21" s="1">
        <f t="shared" si="11"/>
        <v>12.4695</v>
      </c>
      <c r="N21" s="1">
        <f t="shared" si="11"/>
        <v>11.638199999999999</v>
      </c>
      <c r="O21" s="1">
        <f t="shared" si="11"/>
        <v>10.806900000000001</v>
      </c>
    </row>
    <row r="22" spans="1:15" ht="19" x14ac:dyDescent="0.25">
      <c r="A22" s="27" t="str">
        <f>IF(ISBLANK(D22),"",D22&amp;"-"&amp;E22)</f>
        <v>1-New Zealand</v>
      </c>
      <c r="B22" s="27" t="str">
        <f t="shared" si="0"/>
        <v>1-New Zealand::Small</v>
      </c>
      <c r="C22" s="27" t="str">
        <f t="shared" si="2"/>
        <v>Small [250 - 500g]</v>
      </c>
      <c r="D22" s="27">
        <v>1</v>
      </c>
      <c r="E22" s="27" t="s">
        <v>69</v>
      </c>
      <c r="F22" t="s">
        <v>61</v>
      </c>
      <c r="G22" t="s">
        <v>13</v>
      </c>
      <c r="H22" t="s">
        <v>9</v>
      </c>
      <c r="I22" s="1">
        <v>19.649999999999999</v>
      </c>
      <c r="J22" s="1">
        <f t="shared" ref="J22:J25" si="12">I22*(1+J$20)</f>
        <v>20.042999999999999</v>
      </c>
      <c r="K22" s="1">
        <f t="shared" ref="K22:O25" si="13">$J22*(1-K$20)</f>
        <v>19.040849999999999</v>
      </c>
      <c r="L22" s="1">
        <f t="shared" si="13"/>
        <v>16.034400000000002</v>
      </c>
      <c r="M22" s="1">
        <f t="shared" si="13"/>
        <v>15.032249999999999</v>
      </c>
      <c r="N22" s="1">
        <f t="shared" si="13"/>
        <v>14.030099999999999</v>
      </c>
      <c r="O22" s="1">
        <f t="shared" si="13"/>
        <v>13.027950000000001</v>
      </c>
    </row>
    <row r="23" spans="1:15" ht="19" x14ac:dyDescent="0.25">
      <c r="A23" s="27" t="str">
        <f>IF(ISBLANK(D23),"",D23&amp;"-"&amp;E23)</f>
        <v>1-New Zealand</v>
      </c>
      <c r="B23" s="27" t="str">
        <f t="shared" si="0"/>
        <v>1-New Zealand::Medium</v>
      </c>
      <c r="C23" s="27" t="str">
        <f t="shared" si="2"/>
        <v>Medium [500 - 1kg]</v>
      </c>
      <c r="D23" s="27">
        <v>1</v>
      </c>
      <c r="E23" s="27" t="s">
        <v>69</v>
      </c>
      <c r="F23" t="s">
        <v>61</v>
      </c>
      <c r="G23" t="s">
        <v>14</v>
      </c>
      <c r="H23" t="s">
        <v>10</v>
      </c>
      <c r="I23" s="1">
        <v>26.4</v>
      </c>
      <c r="J23" s="1">
        <f t="shared" si="12"/>
        <v>26.927999999999997</v>
      </c>
      <c r="K23" s="1">
        <f t="shared" si="13"/>
        <v>25.581599999999995</v>
      </c>
      <c r="L23" s="1">
        <f t="shared" si="13"/>
        <v>21.542400000000001</v>
      </c>
      <c r="M23" s="1">
        <f t="shared" si="13"/>
        <v>20.195999999999998</v>
      </c>
      <c r="N23" s="1">
        <f t="shared" si="13"/>
        <v>18.849599999999995</v>
      </c>
      <c r="O23" s="1">
        <f t="shared" si="13"/>
        <v>17.5032</v>
      </c>
    </row>
    <row r="24" spans="1:15" ht="19" x14ac:dyDescent="0.25">
      <c r="A24" s="27" t="str">
        <f>IF(ISBLANK(D24),"",D24&amp;"-"&amp;E24)</f>
        <v>1-New Zealand</v>
      </c>
      <c r="B24" s="27" t="str">
        <f t="shared" si="0"/>
        <v>1-New Zealand::Large</v>
      </c>
      <c r="C24" s="27" t="str">
        <f t="shared" si="2"/>
        <v>Large [1 - 1.5kg]</v>
      </c>
      <c r="D24" s="27">
        <v>1</v>
      </c>
      <c r="E24" s="27" t="s">
        <v>69</v>
      </c>
      <c r="F24" t="s">
        <v>61</v>
      </c>
      <c r="G24" t="s">
        <v>15</v>
      </c>
      <c r="H24" t="s">
        <v>11</v>
      </c>
      <c r="I24" s="1">
        <v>33.15</v>
      </c>
      <c r="J24" s="1">
        <f t="shared" si="12"/>
        <v>33.813000000000002</v>
      </c>
      <c r="K24" s="1">
        <f t="shared" si="13"/>
        <v>32.122349999999997</v>
      </c>
      <c r="L24" s="1">
        <f t="shared" si="13"/>
        <v>27.050400000000003</v>
      </c>
      <c r="M24" s="1">
        <f t="shared" si="13"/>
        <v>25.359750000000002</v>
      </c>
      <c r="N24" s="1">
        <f t="shared" si="13"/>
        <v>23.6691</v>
      </c>
      <c r="O24" s="1">
        <f t="shared" si="13"/>
        <v>21.978450000000002</v>
      </c>
    </row>
    <row r="25" spans="1:15" ht="19" x14ac:dyDescent="0.25">
      <c r="A25" s="27"/>
      <c r="B25" s="27"/>
      <c r="C25" s="27"/>
      <c r="D25" s="27">
        <v>1</v>
      </c>
      <c r="E25" s="27" t="s">
        <v>69</v>
      </c>
      <c r="F25" t="s">
        <v>61</v>
      </c>
      <c r="G25" t="s">
        <v>28</v>
      </c>
      <c r="H25" t="s">
        <v>71</v>
      </c>
      <c r="I25" s="1">
        <v>39.9</v>
      </c>
      <c r="J25" s="1">
        <f t="shared" si="12"/>
        <v>40.698</v>
      </c>
      <c r="K25" s="1">
        <f t="shared" si="13"/>
        <v>38.6631</v>
      </c>
      <c r="L25" s="1">
        <f t="shared" si="13"/>
        <v>32.558399999999999</v>
      </c>
      <c r="M25" s="1">
        <f t="shared" si="13"/>
        <v>30.523499999999999</v>
      </c>
      <c r="N25" s="1">
        <f t="shared" si="13"/>
        <v>28.488599999999998</v>
      </c>
      <c r="O25" s="1">
        <f t="shared" si="13"/>
        <v>26.453700000000001</v>
      </c>
    </row>
    <row r="26" spans="1:15" ht="19" x14ac:dyDescent="0.25">
      <c r="A26" s="27"/>
      <c r="B26" s="27"/>
      <c r="C26" s="27"/>
      <c r="D26" s="27"/>
      <c r="E26" s="27"/>
      <c r="I26" s="1"/>
      <c r="J26" s="1"/>
      <c r="K26" s="1"/>
      <c r="L26" s="1"/>
      <c r="M26" s="1"/>
      <c r="N26" s="1"/>
      <c r="O26" s="1"/>
    </row>
    <row r="27" spans="1:15" x14ac:dyDescent="0.2">
      <c r="A27" t="s">
        <v>68</v>
      </c>
      <c r="D27" t="s">
        <v>68</v>
      </c>
      <c r="E27" s="28" t="s">
        <v>67</v>
      </c>
      <c r="I27" s="1"/>
      <c r="J27" s="1"/>
      <c r="K27" s="1"/>
      <c r="L27" s="1"/>
      <c r="M27" s="1"/>
      <c r="N27" s="1"/>
      <c r="O27" s="1"/>
    </row>
    <row r="28" spans="1:15" x14ac:dyDescent="0.2">
      <c r="I28" s="1"/>
      <c r="J28" s="1"/>
      <c r="K28" s="1"/>
      <c r="L28" s="1"/>
      <c r="M28" s="1"/>
      <c r="N28" s="1"/>
      <c r="O28" s="1"/>
    </row>
    <row r="29" spans="1:15" x14ac:dyDescent="0.2">
      <c r="I29" s="1"/>
      <c r="J29" s="1"/>
      <c r="K29" s="1"/>
      <c r="L29" s="1"/>
      <c r="M29" s="1"/>
      <c r="N29" s="1"/>
      <c r="O29" s="1"/>
    </row>
    <row r="30" spans="1:15" x14ac:dyDescent="0.2">
      <c r="I30" s="1"/>
      <c r="J30" s="1"/>
      <c r="K30" s="1"/>
      <c r="L30" s="1"/>
      <c r="M30" s="1"/>
      <c r="N30" s="1"/>
      <c r="O30" s="1"/>
    </row>
    <row r="31" spans="1:15" x14ac:dyDescent="0.2">
      <c r="I31" s="1"/>
      <c r="J31" s="1"/>
      <c r="K31" s="1"/>
      <c r="L31" s="1"/>
      <c r="M31" s="1"/>
      <c r="N31" s="1"/>
      <c r="O31" s="1"/>
    </row>
    <row r="32" spans="1:15" x14ac:dyDescent="0.2">
      <c r="I32" s="1"/>
      <c r="J32" s="1"/>
      <c r="K32" s="1"/>
      <c r="L32" s="1"/>
      <c r="M32" s="1"/>
      <c r="N32" s="1"/>
      <c r="O32" s="1"/>
    </row>
    <row r="33" spans="9:15" x14ac:dyDescent="0.2">
      <c r="I33" s="1"/>
      <c r="J33" s="1"/>
      <c r="K33" s="1"/>
      <c r="L33" s="1"/>
      <c r="M33" s="1"/>
      <c r="N33" s="1"/>
      <c r="O33" s="1"/>
    </row>
    <row r="34" spans="9:15" x14ac:dyDescent="0.2">
      <c r="I34" s="1"/>
      <c r="J34" s="1"/>
      <c r="K34" s="1"/>
      <c r="L34" s="1"/>
      <c r="M34" s="1"/>
      <c r="N34" s="1"/>
      <c r="O34" s="1"/>
    </row>
    <row r="35" spans="9:15" x14ac:dyDescent="0.2">
      <c r="I35" s="1"/>
      <c r="J35" s="1"/>
      <c r="K35" s="1"/>
      <c r="L35" s="1"/>
      <c r="M35" s="1"/>
      <c r="N35" s="1"/>
      <c r="O35" s="1"/>
    </row>
    <row r="36" spans="9:15" x14ac:dyDescent="0.2">
      <c r="I36" s="1"/>
      <c r="J36" s="1"/>
      <c r="K36" s="1"/>
      <c r="L36" s="1"/>
      <c r="M36" s="1"/>
      <c r="N36" s="1"/>
      <c r="O36" s="1"/>
    </row>
    <row r="37" spans="9:15" x14ac:dyDescent="0.2">
      <c r="I37" s="1"/>
      <c r="J37" s="1"/>
      <c r="K37" s="1"/>
      <c r="L37" s="1"/>
      <c r="M37" s="1"/>
      <c r="N37" s="1"/>
      <c r="O37" s="1"/>
    </row>
    <row r="38" spans="9:15" x14ac:dyDescent="0.2">
      <c r="I38" s="1"/>
      <c r="J38" s="1"/>
      <c r="K38" s="1"/>
      <c r="L38" s="1"/>
      <c r="M38" s="1"/>
      <c r="N38" s="1"/>
      <c r="O38" s="1"/>
    </row>
    <row r="39" spans="9:15" x14ac:dyDescent="0.2">
      <c r="I39" s="1"/>
      <c r="J39" s="1"/>
      <c r="K39" s="1"/>
      <c r="L39" s="1"/>
      <c r="M39" s="1"/>
      <c r="N39" s="1"/>
      <c r="O39" s="1"/>
    </row>
  </sheetData>
  <phoneticPr fontId="2" type="noConversion"/>
  <hyperlinks>
    <hyperlink ref="Q1" r:id="rId1" xr:uid="{1C87E17A-A1A3-9942-A4B0-2701F909FC9D}"/>
    <hyperlink ref="E27" r:id="rId2" display="https://auspost.com.au/content/dam/auspost_corp/media/documents/mypost-business-postage-rates-guide.pdf" xr:uid="{6EE8E37E-6E1E-FA4F-9935-22052DFD63E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3EFE4-650A-104E-B008-0E00225979FC}">
  <sheetPr>
    <tabColor theme="8" tint="0.59999389629810485"/>
  </sheetPr>
  <dimension ref="A1:G37"/>
  <sheetViews>
    <sheetView zoomScale="178" workbookViewId="0">
      <pane ySplit="1" topLeftCell="A2" activePane="bottomLeft" state="frozen"/>
      <selection pane="bottomLeft" activeCell="C3" sqref="C3"/>
    </sheetView>
  </sheetViews>
  <sheetFormatPr baseColWidth="10" defaultRowHeight="16" x14ac:dyDescent="0.2"/>
  <cols>
    <col min="1" max="2" width="19.6640625" customWidth="1"/>
    <col min="3" max="3" width="40.5" customWidth="1"/>
  </cols>
  <sheetData>
    <row r="1" spans="1:7" s="13" customFormat="1" ht="59" customHeight="1" x14ac:dyDescent="0.3">
      <c r="A1" s="14" t="s">
        <v>38</v>
      </c>
      <c r="B1" s="14" t="s">
        <v>47</v>
      </c>
      <c r="C1" s="15" t="s">
        <v>40</v>
      </c>
      <c r="D1" s="33" t="s">
        <v>39</v>
      </c>
      <c r="E1" s="34"/>
      <c r="F1" s="34"/>
      <c r="G1" s="34"/>
    </row>
    <row r="2" spans="1:7" x14ac:dyDescent="0.2">
      <c r="A2" s="6" t="s">
        <v>87</v>
      </c>
      <c r="B2" s="6"/>
      <c r="C2" s="6" t="s">
        <v>21</v>
      </c>
      <c r="D2" s="6"/>
      <c r="E2" s="6"/>
      <c r="F2" s="6"/>
      <c r="G2" s="6"/>
    </row>
    <row r="3" spans="1:7" x14ac:dyDescent="0.2">
      <c r="A3" s="6" t="s">
        <v>45</v>
      </c>
      <c r="B3" s="6"/>
      <c r="C3" s="6" t="s">
        <v>18</v>
      </c>
      <c r="D3" s="6" t="s">
        <v>33</v>
      </c>
      <c r="E3" s="6" t="s">
        <v>20</v>
      </c>
      <c r="F3" s="6"/>
      <c r="G3" s="6"/>
    </row>
    <row r="4" spans="1:7" x14ac:dyDescent="0.2">
      <c r="A4" s="6" t="s">
        <v>51</v>
      </c>
      <c r="B4" s="6"/>
      <c r="C4" s="6" t="s">
        <v>21</v>
      </c>
      <c r="D4" s="6"/>
      <c r="E4" s="6"/>
      <c r="F4" s="6"/>
      <c r="G4" s="6"/>
    </row>
    <row r="5" spans="1:7" x14ac:dyDescent="0.2">
      <c r="A5" s="6" t="s">
        <v>42</v>
      </c>
      <c r="B5" s="6"/>
      <c r="C5" s="16" t="s">
        <v>18</v>
      </c>
      <c r="D5" s="6"/>
      <c r="E5" s="6"/>
      <c r="F5" s="6"/>
      <c r="G5" s="6"/>
    </row>
    <row r="6" spans="1:7" x14ac:dyDescent="0.2">
      <c r="A6" s="6" t="s">
        <v>102</v>
      </c>
      <c r="B6" s="6"/>
      <c r="C6" s="70" t="s">
        <v>18</v>
      </c>
      <c r="D6" s="6"/>
      <c r="E6" s="6"/>
      <c r="F6" s="6"/>
      <c r="G6" s="6"/>
    </row>
    <row r="7" spans="1:7" x14ac:dyDescent="0.2">
      <c r="A7" s="6" t="s">
        <v>92</v>
      </c>
      <c r="B7" s="6"/>
      <c r="C7" s="6" t="s">
        <v>33</v>
      </c>
      <c r="D7" s="6" t="s">
        <v>18</v>
      </c>
      <c r="E7" s="6"/>
      <c r="F7" s="6"/>
      <c r="G7" s="6"/>
    </row>
    <row r="8" spans="1:7" x14ac:dyDescent="0.2">
      <c r="A8" s="6" t="s">
        <v>43</v>
      </c>
      <c r="B8" s="6"/>
      <c r="C8" s="6" t="s">
        <v>18</v>
      </c>
      <c r="D8" s="6" t="s">
        <v>44</v>
      </c>
      <c r="E8" s="6"/>
      <c r="F8" s="6"/>
      <c r="G8" s="6"/>
    </row>
    <row r="9" spans="1:7" x14ac:dyDescent="0.2">
      <c r="A9" s="6" t="s">
        <v>37</v>
      </c>
      <c r="B9" s="6"/>
      <c r="C9" s="6" t="s">
        <v>21</v>
      </c>
      <c r="D9" s="6" t="s">
        <v>33</v>
      </c>
      <c r="E9" s="6"/>
      <c r="F9" s="6"/>
      <c r="G9" s="6"/>
    </row>
    <row r="10" spans="1:7" x14ac:dyDescent="0.2">
      <c r="A10" s="6" t="s">
        <v>41</v>
      </c>
      <c r="B10" s="6"/>
      <c r="C10" s="6" t="s">
        <v>18</v>
      </c>
      <c r="D10" s="6" t="s">
        <v>34</v>
      </c>
      <c r="E10" s="6"/>
      <c r="F10" s="6"/>
      <c r="G10" s="6"/>
    </row>
    <row r="11" spans="1:7" x14ac:dyDescent="0.2">
      <c r="A11" s="6" t="s">
        <v>56</v>
      </c>
      <c r="B11" s="6"/>
      <c r="C11" s="19" t="s">
        <v>44</v>
      </c>
      <c r="D11" s="6"/>
      <c r="E11" s="6"/>
      <c r="F11" s="6"/>
      <c r="G11" s="6"/>
    </row>
    <row r="12" spans="1:7" x14ac:dyDescent="0.2">
      <c r="A12" s="6" t="s">
        <v>106</v>
      </c>
      <c r="B12" s="6"/>
      <c r="C12" s="6" t="s">
        <v>21</v>
      </c>
      <c r="D12" s="6" t="s">
        <v>34</v>
      </c>
      <c r="E12" s="6" t="s">
        <v>20</v>
      </c>
      <c r="F12" s="6"/>
      <c r="G12" s="6"/>
    </row>
    <row r="13" spans="1:7" x14ac:dyDescent="0.2">
      <c r="A13" s="6" t="s">
        <v>104</v>
      </c>
      <c r="B13" s="6"/>
      <c r="C13" s="6" t="s">
        <v>18</v>
      </c>
      <c r="D13" s="6"/>
      <c r="E13" s="6"/>
      <c r="F13" s="6"/>
      <c r="G13" s="6"/>
    </row>
    <row r="14" spans="1:7" x14ac:dyDescent="0.2">
      <c r="A14" s="6" t="s">
        <v>103</v>
      </c>
      <c r="B14" s="6"/>
      <c r="C14" s="6" t="s">
        <v>33</v>
      </c>
      <c r="D14" s="6"/>
      <c r="E14" s="6"/>
      <c r="F14" s="6"/>
      <c r="G14" s="6"/>
    </row>
    <row r="15" spans="1:7" x14ac:dyDescent="0.2">
      <c r="A15" s="6" t="s">
        <v>99</v>
      </c>
      <c r="B15" s="6"/>
      <c r="C15" s="6" t="s">
        <v>100</v>
      </c>
      <c r="D15" s="6"/>
      <c r="E15" s="6"/>
      <c r="F15" s="6"/>
      <c r="G15" s="6"/>
    </row>
    <row r="16" spans="1:7" x14ac:dyDescent="0.2">
      <c r="A16" s="6" t="s">
        <v>50</v>
      </c>
      <c r="B16" s="6"/>
      <c r="C16" s="6" t="s">
        <v>18</v>
      </c>
      <c r="D16" s="6"/>
      <c r="E16" s="6"/>
      <c r="F16" s="6"/>
      <c r="G16" s="6"/>
    </row>
    <row r="17" spans="1:7" x14ac:dyDescent="0.2">
      <c r="A17" s="6" t="s">
        <v>105</v>
      </c>
      <c r="B17" s="6"/>
      <c r="C17" s="6" t="s">
        <v>33</v>
      </c>
      <c r="D17" s="6"/>
      <c r="E17" s="6"/>
      <c r="F17" s="6"/>
      <c r="G17" s="6"/>
    </row>
    <row r="18" spans="1:7" x14ac:dyDescent="0.2">
      <c r="A18" s="6" t="s">
        <v>95</v>
      </c>
      <c r="B18" s="6" t="s">
        <v>96</v>
      </c>
      <c r="C18" s="6" t="s">
        <v>18</v>
      </c>
      <c r="D18" s="6"/>
      <c r="E18" s="6"/>
      <c r="F18" s="6"/>
      <c r="G18" s="6"/>
    </row>
    <row r="19" spans="1:7" x14ac:dyDescent="0.2">
      <c r="A19" s="6" t="s">
        <v>52</v>
      </c>
      <c r="B19" s="6" t="s">
        <v>53</v>
      </c>
      <c r="C19" s="20" t="s">
        <v>57</v>
      </c>
      <c r="D19" s="6"/>
      <c r="E19" s="6"/>
      <c r="F19" s="6"/>
      <c r="G19" s="6"/>
    </row>
    <row r="20" spans="1:7" x14ac:dyDescent="0.2">
      <c r="A20" s="6" t="s">
        <v>91</v>
      </c>
      <c r="B20" s="6"/>
      <c r="C20" s="70" t="s">
        <v>18</v>
      </c>
      <c r="D20" s="6"/>
      <c r="E20" s="6"/>
      <c r="F20" s="6"/>
      <c r="G20" s="6"/>
    </row>
    <row r="21" spans="1:7" x14ac:dyDescent="0.2">
      <c r="A21" s="6" t="s">
        <v>101</v>
      </c>
      <c r="B21" s="6"/>
      <c r="C21" s="70" t="s">
        <v>18</v>
      </c>
      <c r="D21" s="6" t="s">
        <v>33</v>
      </c>
      <c r="E21" s="6"/>
      <c r="F21" s="6"/>
      <c r="G21" s="6"/>
    </row>
    <row r="22" spans="1:7" x14ac:dyDescent="0.2">
      <c r="A22" s="6" t="s">
        <v>58</v>
      </c>
      <c r="B22" s="6"/>
      <c r="C22" s="6" t="s">
        <v>18</v>
      </c>
      <c r="D22" s="6"/>
      <c r="E22" s="6"/>
      <c r="F22" s="6"/>
      <c r="G22" s="6"/>
    </row>
    <row r="23" spans="1:7" x14ac:dyDescent="0.2">
      <c r="A23" s="6" t="s">
        <v>88</v>
      </c>
      <c r="B23" s="6" t="s">
        <v>89</v>
      </c>
      <c r="C23" s="6" t="s">
        <v>34</v>
      </c>
      <c r="D23" s="6"/>
      <c r="E23" s="6"/>
      <c r="F23" s="6"/>
      <c r="G23" s="6"/>
    </row>
    <row r="24" spans="1:7" x14ac:dyDescent="0.2">
      <c r="A24" s="6" t="s">
        <v>55</v>
      </c>
      <c r="B24" s="6"/>
      <c r="C24" s="19" t="s">
        <v>44</v>
      </c>
      <c r="D24" s="6"/>
      <c r="E24" s="6"/>
      <c r="F24" s="6"/>
      <c r="G24" s="6"/>
    </row>
    <row r="25" spans="1:7" x14ac:dyDescent="0.2">
      <c r="A25" s="6" t="s">
        <v>86</v>
      </c>
      <c r="B25" s="6"/>
      <c r="C25" s="70" t="s">
        <v>18</v>
      </c>
      <c r="D25" s="6"/>
      <c r="E25" s="6"/>
      <c r="F25" s="6"/>
      <c r="G25" s="6"/>
    </row>
    <row r="26" spans="1:7" x14ac:dyDescent="0.2">
      <c r="A26" s="6" t="s">
        <v>36</v>
      </c>
      <c r="B26" s="6"/>
      <c r="C26" s="6" t="s">
        <v>18</v>
      </c>
      <c r="D26" s="6"/>
      <c r="E26" s="6"/>
      <c r="F26" s="6"/>
      <c r="G26" s="6"/>
    </row>
    <row r="27" spans="1:7" x14ac:dyDescent="0.2">
      <c r="A27" s="6" t="s">
        <v>54</v>
      </c>
      <c r="B27" s="6"/>
      <c r="C27" s="6" t="s">
        <v>33</v>
      </c>
      <c r="D27" s="6"/>
      <c r="E27" s="6"/>
      <c r="F27" s="6"/>
      <c r="G27" s="6"/>
    </row>
    <row r="28" spans="1:7" x14ac:dyDescent="0.2">
      <c r="A28" s="6" t="s">
        <v>46</v>
      </c>
      <c r="B28" s="6" t="s">
        <v>48</v>
      </c>
      <c r="C28" s="6" t="s">
        <v>18</v>
      </c>
      <c r="D28" s="6" t="s">
        <v>49</v>
      </c>
      <c r="E28" s="6"/>
      <c r="F28" s="6"/>
      <c r="G28" s="6"/>
    </row>
    <row r="29" spans="1:7" x14ac:dyDescent="0.2">
      <c r="A29" s="6"/>
      <c r="B29" s="6"/>
      <c r="C29" s="6"/>
      <c r="D29" s="6"/>
      <c r="E29" s="6"/>
      <c r="F29" s="6"/>
      <c r="G29" s="6"/>
    </row>
    <row r="30" spans="1:7" x14ac:dyDescent="0.2">
      <c r="A30" s="6"/>
      <c r="B30" s="6"/>
      <c r="C30" s="6"/>
      <c r="D30" s="6"/>
      <c r="E30" s="6"/>
      <c r="F30" s="6"/>
      <c r="G30" s="6"/>
    </row>
    <row r="31" spans="1:7" x14ac:dyDescent="0.2">
      <c r="A31" s="6"/>
      <c r="B31" s="6"/>
      <c r="C31" s="6"/>
      <c r="D31" s="6"/>
      <c r="E31" s="6"/>
      <c r="F31" s="6"/>
      <c r="G31" s="6"/>
    </row>
    <row r="32" spans="1:7" x14ac:dyDescent="0.2">
      <c r="A32" s="6"/>
      <c r="B32" s="6"/>
      <c r="C32" s="6"/>
      <c r="D32" s="6"/>
      <c r="E32" s="6"/>
      <c r="F32" s="6"/>
      <c r="G32" s="6"/>
    </row>
    <row r="33" spans="1:7" x14ac:dyDescent="0.2">
      <c r="A33" s="6"/>
      <c r="B33" s="6"/>
      <c r="C33" s="6"/>
      <c r="D33" s="6"/>
      <c r="E33" s="6"/>
      <c r="F33" s="6"/>
      <c r="G33" s="6"/>
    </row>
    <row r="34" spans="1:7" x14ac:dyDescent="0.2">
      <c r="A34" s="6"/>
      <c r="B34" s="6"/>
      <c r="C34" s="6"/>
      <c r="D34" s="6"/>
      <c r="E34" s="6"/>
      <c r="F34" s="6"/>
      <c r="G34" s="6"/>
    </row>
    <row r="35" spans="1:7" x14ac:dyDescent="0.2">
      <c r="A35" s="6"/>
      <c r="B35" s="6"/>
      <c r="C35" s="6"/>
      <c r="D35" s="6"/>
      <c r="E35" s="6"/>
      <c r="F35" s="6"/>
      <c r="G35" s="6"/>
    </row>
    <row r="36" spans="1:7" x14ac:dyDescent="0.2">
      <c r="A36" s="6"/>
      <c r="B36" s="6"/>
      <c r="C36" s="6"/>
      <c r="D36" s="6"/>
      <c r="E36" s="6"/>
      <c r="F36" s="6"/>
      <c r="G36" s="6"/>
    </row>
    <row r="37" spans="1:7" x14ac:dyDescent="0.2">
      <c r="A37" s="6"/>
      <c r="B37" s="6"/>
      <c r="C37" s="6"/>
      <c r="D37" s="6"/>
      <c r="E37" s="6"/>
      <c r="F37" s="6"/>
      <c r="G37" s="6"/>
    </row>
  </sheetData>
  <autoFilter ref="A1:G1" xr:uid="{FCF3EFE4-650A-104E-B008-0E00225979FC}">
    <filterColumn colId="3" showButton="0"/>
    <filterColumn colId="4" showButton="0"/>
    <filterColumn colId="5" showButton="0"/>
    <sortState xmlns:xlrd2="http://schemas.microsoft.com/office/spreadsheetml/2017/richdata2" ref="A2:G7">
      <sortCondition ref="A1:A7"/>
    </sortState>
  </autoFilter>
  <mergeCells count="1"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763F2-AFA5-C246-922A-84A4D925C988}">
  <sheetPr>
    <tabColor theme="4" tint="0.39997558519241921"/>
  </sheetPr>
  <dimension ref="A1:D13"/>
  <sheetViews>
    <sheetView zoomScale="159" workbookViewId="0">
      <selection activeCell="B9" sqref="B9"/>
    </sheetView>
  </sheetViews>
  <sheetFormatPr baseColWidth="10" defaultRowHeight="16" x14ac:dyDescent="0.2"/>
  <cols>
    <col min="1" max="1" width="28.1640625" bestFit="1" customWidth="1"/>
    <col min="2" max="2" width="16.6640625" customWidth="1"/>
    <col min="3" max="3" width="17" bestFit="1" customWidth="1"/>
  </cols>
  <sheetData>
    <row r="1" spans="1:4" ht="19" x14ac:dyDescent="0.25">
      <c r="A1" s="2" t="s">
        <v>16</v>
      </c>
      <c r="B1" s="17" t="s">
        <v>17</v>
      </c>
      <c r="C1" s="18" t="s">
        <v>25</v>
      </c>
      <c r="D1" s="1"/>
    </row>
    <row r="2" spans="1:4" x14ac:dyDescent="0.2">
      <c r="B2" s="3" t="s">
        <v>18</v>
      </c>
      <c r="C2" s="3">
        <v>0.2</v>
      </c>
      <c r="D2" s="1"/>
    </row>
    <row r="3" spans="1:4" x14ac:dyDescent="0.2">
      <c r="B3" s="3" t="s">
        <v>20</v>
      </c>
      <c r="C3" s="3">
        <v>0.19</v>
      </c>
      <c r="D3" s="1"/>
    </row>
    <row r="4" spans="1:4" x14ac:dyDescent="0.2">
      <c r="B4" s="3" t="s">
        <v>21</v>
      </c>
      <c r="C4" s="3">
        <v>0.19</v>
      </c>
      <c r="D4" s="1"/>
    </row>
    <row r="5" spans="1:4" x14ac:dyDescent="0.2">
      <c r="B5" s="3" t="s">
        <v>34</v>
      </c>
      <c r="C5" s="3">
        <v>0.2</v>
      </c>
      <c r="D5" s="1"/>
    </row>
    <row r="6" spans="1:4" x14ac:dyDescent="0.2">
      <c r="B6" s="3" t="s">
        <v>22</v>
      </c>
      <c r="C6" s="3">
        <v>0.15</v>
      </c>
      <c r="D6" s="1"/>
    </row>
    <row r="7" spans="1:4" x14ac:dyDescent="0.2">
      <c r="B7" s="3" t="s">
        <v>33</v>
      </c>
      <c r="C7" s="3">
        <v>0.5</v>
      </c>
      <c r="D7" s="1"/>
    </row>
    <row r="8" spans="1:4" x14ac:dyDescent="0.2">
      <c r="B8" s="3" t="s">
        <v>100</v>
      </c>
      <c r="C8" s="3">
        <v>0.25</v>
      </c>
      <c r="D8" s="1"/>
    </row>
    <row r="9" spans="1:4" x14ac:dyDescent="0.2">
      <c r="B9" s="3" t="s">
        <v>44</v>
      </c>
      <c r="C9" s="3">
        <v>0.1</v>
      </c>
      <c r="D9" s="1"/>
    </row>
    <row r="10" spans="1:4" x14ac:dyDescent="0.2">
      <c r="B10" s="3"/>
      <c r="C10" s="3"/>
      <c r="D10" s="1"/>
    </row>
    <row r="11" spans="1:4" ht="19" x14ac:dyDescent="0.25">
      <c r="A11" s="2" t="s">
        <v>19</v>
      </c>
      <c r="B11" s="3">
        <v>0.1</v>
      </c>
      <c r="C11" s="3" t="s">
        <v>23</v>
      </c>
      <c r="D11" s="1"/>
    </row>
    <row r="12" spans="1:4" x14ac:dyDescent="0.2">
      <c r="B12" s="4">
        <v>1.69</v>
      </c>
      <c r="C12" s="1" t="s">
        <v>24</v>
      </c>
      <c r="D12" s="1"/>
    </row>
    <row r="13" spans="1:4" x14ac:dyDescent="0.2">
      <c r="B13" s="4"/>
      <c r="C13" s="1"/>
      <c r="D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D454-D54A-A441-A3DE-01E05408789F}">
  <sheetPr>
    <tabColor rgb="FFFFFF00"/>
  </sheetPr>
  <dimension ref="A1:J57"/>
  <sheetViews>
    <sheetView zoomScale="166" workbookViewId="0">
      <pane ySplit="3" topLeftCell="A4" activePane="bottomLeft" state="frozenSplit"/>
      <selection pane="bottomLeft" activeCell="E4" sqref="E4"/>
    </sheetView>
  </sheetViews>
  <sheetFormatPr baseColWidth="10" defaultRowHeight="16" x14ac:dyDescent="0.2"/>
  <cols>
    <col min="1" max="1" width="11.5" customWidth="1"/>
    <col min="2" max="2" width="13.1640625" style="1" customWidth="1"/>
    <col min="3" max="3" width="9" style="1" bestFit="1" customWidth="1"/>
    <col min="4" max="4" width="8.6640625" style="1" bestFit="1" customWidth="1"/>
    <col min="5" max="5" width="14" customWidth="1"/>
    <col min="6" max="6" width="15.1640625" style="12" customWidth="1"/>
    <col min="7" max="7" width="12.6640625" customWidth="1"/>
    <col min="8" max="8" width="12.6640625" style="12" customWidth="1"/>
  </cols>
  <sheetData>
    <row r="1" spans="1:10" ht="28" customHeight="1" x14ac:dyDescent="0.3">
      <c r="A1" s="44" t="s">
        <v>65</v>
      </c>
      <c r="B1" s="44"/>
      <c r="C1" s="44"/>
      <c r="D1" s="45"/>
      <c r="E1" s="42" t="s">
        <v>32</v>
      </c>
      <c r="F1" s="43"/>
      <c r="G1" s="43"/>
      <c r="H1" s="43"/>
      <c r="I1" s="43"/>
      <c r="J1" s="43"/>
    </row>
    <row r="2" spans="1:10" ht="45" customHeight="1" x14ac:dyDescent="0.25">
      <c r="A2" s="6"/>
      <c r="B2" s="7"/>
      <c r="C2" s="38" t="s">
        <v>31</v>
      </c>
      <c r="D2" s="39"/>
      <c r="E2" s="35" t="s">
        <v>18</v>
      </c>
      <c r="F2" s="35"/>
      <c r="G2" s="36" t="s">
        <v>35</v>
      </c>
      <c r="H2" s="37"/>
      <c r="I2" s="40" t="s">
        <v>44</v>
      </c>
      <c r="J2" s="41"/>
    </row>
    <row r="3" spans="1:10" s="2" customFormat="1" ht="40" customHeight="1" x14ac:dyDescent="0.25">
      <c r="A3" s="10" t="s">
        <v>30</v>
      </c>
      <c r="B3" s="8" t="s">
        <v>29</v>
      </c>
      <c r="C3" s="8" t="s">
        <v>26</v>
      </c>
      <c r="D3" s="8" t="s">
        <v>27</v>
      </c>
      <c r="E3" s="9" t="s">
        <v>26</v>
      </c>
      <c r="F3" s="9" t="s">
        <v>27</v>
      </c>
      <c r="G3" s="9" t="s">
        <v>26</v>
      </c>
      <c r="H3" s="9" t="s">
        <v>27</v>
      </c>
      <c r="I3" s="9" t="s">
        <v>26</v>
      </c>
      <c r="J3" s="9" t="s">
        <v>27</v>
      </c>
    </row>
    <row r="4" spans="1:10" x14ac:dyDescent="0.2">
      <c r="A4" s="6" t="s">
        <v>13</v>
      </c>
      <c r="B4" s="7">
        <v>100</v>
      </c>
      <c r="C4" s="7">
        <f>_xlfn.XLOOKUP(A4,PostalCost_International!G:G,PostalCost_International!M:M,"Not Found")</f>
        <v>24.403500000000001</v>
      </c>
      <c r="D4" s="7">
        <f>_xlfn.XLOOKUP(A4,PostalCost_International!G:G,PostalCost_International!N:N,"Not Found")</f>
        <v>23.664000000000001</v>
      </c>
      <c r="E4" s="5">
        <f>IF(NOT(ISBLANK($A4)),$C4+(($B4+$C4)*USA_Costs!$C$2)+((($B4+$C4)*USA_Costs!$C$2)*USA_Costs!$B$11)+USA_Costs!$B$12,"")</f>
        <v>53.462270000000004</v>
      </c>
      <c r="F4" s="11">
        <f>IF(NOT(ISBLANK($A4)),$D4+(($B4+$D4)*USA_Costs!$C$2)+((($B4+$D4)*USA_Costs!$C$2)*USA_Costs!$B$11)+USA_Costs!$B$12,"")</f>
        <v>52.560079999999999</v>
      </c>
      <c r="G4" s="5">
        <f>IF(NOT(ISBLANK($A4)),$C4+((D4+E4)*USA_Costs!$C$3)+(((D4+E4)*USA_Costs!$C$3)*USA_Costs!$B$11)+USA_Costs!$B$12,"")</f>
        <v>42.212890430000002</v>
      </c>
      <c r="H4" s="11">
        <f>IF(NOT(ISBLANK($A4)),$D4+((D4+F4)*USA_Costs!$C$3)+(((D4+F4)*USA_Costs!$C$3)*USA_Costs!$B$11)+USA_Costs!$B$12,"")</f>
        <v>41.284832719999997</v>
      </c>
      <c r="I4" s="5">
        <f>IF(NOT(ISBLANK($A4)),$C4+(($B4+$C4)*USA_Costs!$C$9)+((($B4+$C4)*USA_Costs!$C$9)*USA_Costs!$B$11)+USA_Costs!$B$12,"")</f>
        <v>39.777884999999998</v>
      </c>
      <c r="J4" s="11">
        <f>IF(NOT(ISBLANK($A4)),$D4+(($B4+$D4)*USA_Costs!$C$9)+((($B4+$D4)*USA_Costs!$C$9)*USA_Costs!$B$11)+USA_Costs!$B$12,"")</f>
        <v>38.957039999999999</v>
      </c>
    </row>
    <row r="5" spans="1:10" x14ac:dyDescent="0.2">
      <c r="A5" s="6" t="s">
        <v>13</v>
      </c>
      <c r="B5" s="7">
        <v>200</v>
      </c>
      <c r="C5" s="7">
        <f>_xlfn.XLOOKUP(A5,PostalCost_International!G:G,PostalCost_International!M:M,"Not Found")</f>
        <v>24.403500000000001</v>
      </c>
      <c r="D5" s="7">
        <f>_xlfn.XLOOKUP(A5,PostalCost_International!G:G,PostalCost_International!N:N,"Not Found")</f>
        <v>23.664000000000001</v>
      </c>
      <c r="E5" s="5">
        <f>IF(NOT(ISBLANK($A5)),$C5+(($B5+$C5)*USA_Costs!$C$2)+((($B5+$C5)*USA_Costs!$C$2)*USA_Costs!$B$11)+USA_Costs!$B$12,"")</f>
        <v>75.46226999999999</v>
      </c>
      <c r="F5" s="11">
        <f>IF(NOT(ISBLANK($A5)),$D5+(($B5+$D5)*USA_Costs!$C$2)+((($B5+$D5)*USA_Costs!$C$2)*USA_Costs!$B$11)+USA_Costs!$B$12,"")</f>
        <v>74.560079999999999</v>
      </c>
      <c r="G5" s="5">
        <f>IF(NOT(ISBLANK($A5)),$C5+((D5+E5)*USA_Costs!$C$3)+(((D5+E5)*USA_Costs!$C$3)*USA_Costs!$B$11)+USA_Costs!$B$12,"")</f>
        <v>46.810890430000001</v>
      </c>
      <c r="H5" s="11">
        <f>IF(NOT(ISBLANK($A5)),$D5+((D5+F5)*USA_Costs!$C$3)+(((D5+F5)*USA_Costs!$C$3)*USA_Costs!$B$11)+USA_Costs!$B$12,"")</f>
        <v>45.882832719999996</v>
      </c>
      <c r="I5" s="5">
        <f>IF(NOT(ISBLANK($A5)),$C5+(($B5+$C5)*USA_Costs!$C$9)+((($B5+$C5)*USA_Costs!$C$9)*USA_Costs!$B$11)+USA_Costs!$B$12,"")</f>
        <v>50.777884999999998</v>
      </c>
      <c r="J5" s="11">
        <f>IF(NOT(ISBLANK($A5)),$D5+(($B5+$D5)*USA_Costs!$C$9)+((($B5+$D5)*USA_Costs!$C$9)*USA_Costs!$B$11)+USA_Costs!$B$12,"")</f>
        <v>49.957039999999999</v>
      </c>
    </row>
    <row r="6" spans="1:10" x14ac:dyDescent="0.2">
      <c r="A6" s="6" t="s">
        <v>13</v>
      </c>
      <c r="B6" s="7">
        <v>300</v>
      </c>
      <c r="C6" s="7">
        <f>_xlfn.XLOOKUP(A6,PostalCost_International!G:G,PostalCost_International!M:M,"Not Found")</f>
        <v>24.403500000000001</v>
      </c>
      <c r="D6" s="7">
        <f>_xlfn.XLOOKUP(A6,PostalCost_International!G:G,PostalCost_International!N:N,"Not Found")</f>
        <v>23.664000000000001</v>
      </c>
      <c r="E6" s="5">
        <f>IF(NOT(ISBLANK($A6)),$C6+(($B6+$C6)*USA_Costs!$C$2)+((($B6+$C6)*USA_Costs!$C$2)*USA_Costs!$B$11)+USA_Costs!$B$12,"")</f>
        <v>97.46226999999999</v>
      </c>
      <c r="F6" s="11">
        <f>IF(NOT(ISBLANK($A6)),$D6+(($B6+$D6)*USA_Costs!$C$2)+((($B6+$D6)*USA_Costs!$C$2)*USA_Costs!$B$11)+USA_Costs!$B$12,"")</f>
        <v>96.560079999999999</v>
      </c>
      <c r="G6" s="5">
        <f>IF(NOT(ISBLANK($A6)),$C6+((D6+E6)*USA_Costs!$C$3)+(((D6+E6)*USA_Costs!$C$3)*USA_Costs!$B$11)+USA_Costs!$B$12,"")</f>
        <v>51.408890429999992</v>
      </c>
      <c r="H6" s="11">
        <f>IF(NOT(ISBLANK($A6)),$D6+((D6+F6)*USA_Costs!$C$3)+(((D6+F6)*USA_Costs!$C$3)*USA_Costs!$B$11)+USA_Costs!$B$12,"")</f>
        <v>50.480832719999995</v>
      </c>
      <c r="I6" s="5">
        <f>IF(NOT(ISBLANK($A6)),$C6+(($B6+$C6)*USA_Costs!$C$9)+((($B6+$C6)*USA_Costs!$C$9)*USA_Costs!$B$11)+USA_Costs!$B$12,"")</f>
        <v>61.777884999999998</v>
      </c>
      <c r="J6" s="11">
        <f>IF(NOT(ISBLANK($A6)),$D6+(($B6+$D6)*USA_Costs!$C$9)+((($B6+$D6)*USA_Costs!$C$9)*USA_Costs!$B$11)+USA_Costs!$B$12,"")</f>
        <v>60.957039999999999</v>
      </c>
    </row>
    <row r="7" spans="1:10" x14ac:dyDescent="0.2">
      <c r="A7" s="6" t="s">
        <v>13</v>
      </c>
      <c r="B7" s="7">
        <v>400</v>
      </c>
      <c r="C7" s="7">
        <f>_xlfn.XLOOKUP(A7,PostalCost_International!G:G,PostalCost_International!M:M,"Not Found")</f>
        <v>24.403500000000001</v>
      </c>
      <c r="D7" s="7">
        <f>_xlfn.XLOOKUP(A7,PostalCost_International!G:G,PostalCost_International!N:N,"Not Found")</f>
        <v>23.664000000000001</v>
      </c>
      <c r="E7" s="5">
        <f>IF(NOT(ISBLANK($A7)),$C7+(($B7+$C7)*USA_Costs!$C$2)+((($B7+$C7)*USA_Costs!$C$2)*USA_Costs!$B$11)+USA_Costs!$B$12,"")</f>
        <v>119.46226999999999</v>
      </c>
      <c r="F7" s="11">
        <f>IF(NOT(ISBLANK($A7)),$D7+(($B7+$D7)*USA_Costs!$C$2)+((($B7+$D7)*USA_Costs!$C$2)*USA_Costs!$B$11)+USA_Costs!$B$12,"")</f>
        <v>118.56008</v>
      </c>
      <c r="G7" s="5">
        <f>IF(NOT(ISBLANK($A7)),$C7+((D7+E7)*USA_Costs!$C$3)+(((D7+E7)*USA_Costs!$C$3)*USA_Costs!$B$11)+USA_Costs!$B$12,"")</f>
        <v>56.006890429999999</v>
      </c>
      <c r="H7" s="11">
        <f>IF(NOT(ISBLANK($A7)),$D7+((D7+F7)*USA_Costs!$C$3)+(((D7+F7)*USA_Costs!$C$3)*USA_Costs!$B$11)+USA_Costs!$B$12,"")</f>
        <v>55.078832720000008</v>
      </c>
      <c r="I7" s="5">
        <f>IF(NOT(ISBLANK($A7)),$C7+(($B7+$C7)*USA_Costs!$C$9)+((($B7+$C7)*USA_Costs!$C$9)*USA_Costs!$B$11)+USA_Costs!$B$12,"")</f>
        <v>72.777884999999998</v>
      </c>
      <c r="J7" s="11">
        <f>IF(NOT(ISBLANK($A7)),$D7+(($B7+$D7)*USA_Costs!$C$9)+((($B7+$D7)*USA_Costs!$C$9)*USA_Costs!$B$11)+USA_Costs!$B$12,"")</f>
        <v>71.957039999999992</v>
      </c>
    </row>
    <row r="8" spans="1:10" x14ac:dyDescent="0.2">
      <c r="A8" s="6" t="s">
        <v>13</v>
      </c>
      <c r="B8" s="7">
        <v>500</v>
      </c>
      <c r="C8" s="7">
        <f>_xlfn.XLOOKUP(A8,PostalCost_International!G:G,PostalCost_International!M:M,"Not Found")</f>
        <v>24.403500000000001</v>
      </c>
      <c r="D8" s="7">
        <f>_xlfn.XLOOKUP(A8,PostalCost_International!G:G,PostalCost_International!N:N,"Not Found")</f>
        <v>23.664000000000001</v>
      </c>
      <c r="E8" s="5">
        <f>IF(NOT(ISBLANK($A8)),$C8+(($B8+$C8)*USA_Costs!$C$2)+((($B8+$C8)*USA_Costs!$C$2)*USA_Costs!$B$11)+USA_Costs!$B$12,"")</f>
        <v>141.46226999999999</v>
      </c>
      <c r="F8" s="11">
        <f>IF(NOT(ISBLANK($A8)),$D8+(($B8+$D8)*USA_Costs!$C$2)+((($B8+$D8)*USA_Costs!$C$2)*USA_Costs!$B$11)+USA_Costs!$B$12,"")</f>
        <v>140.56007999999997</v>
      </c>
      <c r="G8" s="5">
        <f>IF(NOT(ISBLANK($A8)),$C8+((D8+E8)*USA_Costs!$C$3)+(((D8+E8)*USA_Costs!$C$3)*USA_Costs!$B$11)+USA_Costs!$B$12,"")</f>
        <v>60.60489042999999</v>
      </c>
      <c r="H8" s="11">
        <f>IF(NOT(ISBLANK($A8)),$D8+((D8+F8)*USA_Costs!$C$3)+(((D8+F8)*USA_Costs!$C$3)*USA_Costs!$B$11)+USA_Costs!$B$12,"")</f>
        <v>59.676832719999993</v>
      </c>
      <c r="I8" s="5">
        <f>IF(NOT(ISBLANK($A8)),$C8+(($B8+$C8)*USA_Costs!$C$9)+((($B8+$C8)*USA_Costs!$C$9)*USA_Costs!$B$11)+USA_Costs!$B$12,"")</f>
        <v>83.777884999999998</v>
      </c>
      <c r="J8" s="11">
        <f>IF(NOT(ISBLANK($A8)),$D8+(($B8+$D8)*USA_Costs!$C$9)+((($B8+$D8)*USA_Costs!$C$9)*USA_Costs!$B$11)+USA_Costs!$B$12,"")</f>
        <v>82.957039999999992</v>
      </c>
    </row>
    <row r="9" spans="1:10" x14ac:dyDescent="0.2">
      <c r="A9" s="6" t="s">
        <v>13</v>
      </c>
      <c r="B9" s="7">
        <v>600</v>
      </c>
      <c r="C9" s="7">
        <f>_xlfn.XLOOKUP(A9,PostalCost_International!G:G,PostalCost_International!M:M,"Not Found")</f>
        <v>24.403500000000001</v>
      </c>
      <c r="D9" s="7">
        <f>_xlfn.XLOOKUP(A9,PostalCost_International!G:G,PostalCost_International!N:N,"Not Found")</f>
        <v>23.664000000000001</v>
      </c>
      <c r="E9" s="5">
        <f>IF(NOT(ISBLANK($A9)),$C9+(($B9+$C9)*USA_Costs!$C$2)+((($B9+$C9)*USA_Costs!$C$2)*USA_Costs!$B$11)+USA_Costs!$B$12,"")</f>
        <v>163.46226999999999</v>
      </c>
      <c r="F9" s="11">
        <f>IF(NOT(ISBLANK($A9)),$D9+(($B9+$D9)*USA_Costs!$C$2)+((($B9+$D9)*USA_Costs!$C$2)*USA_Costs!$B$11)+USA_Costs!$B$12,"")</f>
        <v>162.56007999999997</v>
      </c>
      <c r="G9" s="5">
        <f>IF(NOT(ISBLANK($A9)),$C9+((D9+E9)*USA_Costs!$C$3)+(((D9+E9)*USA_Costs!$C$3)*USA_Costs!$B$11)+USA_Costs!$B$12,"")</f>
        <v>65.202890429999997</v>
      </c>
      <c r="H9" s="11">
        <f>IF(NOT(ISBLANK($A9)),$D9+((D9+F9)*USA_Costs!$C$3)+(((D9+F9)*USA_Costs!$C$3)*USA_Costs!$B$11)+USA_Costs!$B$12,"")</f>
        <v>64.274832719999992</v>
      </c>
      <c r="I9" s="5">
        <f>IF(NOT(ISBLANK($A9)),$C9+(($B9+$C9)*USA_Costs!$C$9)+((($B9+$C9)*USA_Costs!$C$9)*USA_Costs!$B$11)+USA_Costs!$B$12,"")</f>
        <v>94.777884999999998</v>
      </c>
      <c r="J9" s="11">
        <f>IF(NOT(ISBLANK($A9)),$D9+(($B9+$D9)*USA_Costs!$C$9)+((($B9+$D9)*USA_Costs!$C$9)*USA_Costs!$B$11)+USA_Costs!$B$12,"")</f>
        <v>93.957039999999992</v>
      </c>
    </row>
    <row r="10" spans="1:10" x14ac:dyDescent="0.2">
      <c r="A10" s="6" t="s">
        <v>13</v>
      </c>
      <c r="B10" s="7">
        <v>700</v>
      </c>
      <c r="C10" s="7">
        <f>_xlfn.XLOOKUP(A10,PostalCost_International!G:G,PostalCost_International!M:M,"Not Found")</f>
        <v>24.403500000000001</v>
      </c>
      <c r="D10" s="7">
        <f>_xlfn.XLOOKUP(A10,PostalCost_International!G:G,PostalCost_International!N:N,"Not Found")</f>
        <v>23.664000000000001</v>
      </c>
      <c r="E10" s="5">
        <f>IF(NOT(ISBLANK($A10)),$C10+(($B10+$C10)*USA_Costs!$C$2)+((($B10+$C10)*USA_Costs!$C$2)*USA_Costs!$B$11)+USA_Costs!$B$12,"")</f>
        <v>185.46227000000002</v>
      </c>
      <c r="F10" s="11">
        <f>IF(NOT(ISBLANK($A10)),$D10+(($B10+$D10)*USA_Costs!$C$2)+((($B10+$D10)*USA_Costs!$C$2)*USA_Costs!$B$11)+USA_Costs!$B$12,"")</f>
        <v>184.56007999999997</v>
      </c>
      <c r="G10" s="5">
        <f>IF(NOT(ISBLANK($A10)),$C10+((D10+E10)*USA_Costs!$C$3)+(((D10+E10)*USA_Costs!$C$3)*USA_Costs!$B$11)+USA_Costs!$B$12,"")</f>
        <v>69.80089043000001</v>
      </c>
      <c r="H10" s="11">
        <f>IF(NOT(ISBLANK($A10)),$D10+((D10+F10)*USA_Costs!$C$3)+(((D10+F10)*USA_Costs!$C$3)*USA_Costs!$B$11)+USA_Costs!$B$12,"")</f>
        <v>68.872832719999991</v>
      </c>
      <c r="I10" s="5">
        <f>IF(NOT(ISBLANK($A10)),$C10+(($B10+$C10)*USA_Costs!$C$9)+((($B10+$C10)*USA_Costs!$C$9)*USA_Costs!$B$11)+USA_Costs!$B$12,"")</f>
        <v>105.777885</v>
      </c>
      <c r="J10" s="11">
        <f>IF(NOT(ISBLANK($A10)),$D10+(($B10+$D10)*USA_Costs!$C$9)+((($B10+$D10)*USA_Costs!$C$9)*USA_Costs!$B$11)+USA_Costs!$B$12,"")</f>
        <v>104.95703999999999</v>
      </c>
    </row>
    <row r="11" spans="1:10" x14ac:dyDescent="0.2">
      <c r="A11" s="6" t="s">
        <v>13</v>
      </c>
      <c r="B11" s="7">
        <v>800</v>
      </c>
      <c r="C11" s="7">
        <f>_xlfn.XLOOKUP(A11,PostalCost_International!G:G,PostalCost_International!M:M,"Not Found")</f>
        <v>24.403500000000001</v>
      </c>
      <c r="D11" s="7">
        <f>_xlfn.XLOOKUP(A11,PostalCost_International!G:G,PostalCost_International!N:N,"Not Found")</f>
        <v>23.664000000000001</v>
      </c>
      <c r="E11" s="5">
        <f>IF(NOT(ISBLANK($A11)),$C11+(($B11+$C11)*USA_Costs!$C$2)+((($B11+$C11)*USA_Costs!$C$2)*USA_Costs!$B$11)+USA_Costs!$B$12,"")</f>
        <v>207.46227000000002</v>
      </c>
      <c r="F11" s="11">
        <f>IF(NOT(ISBLANK($A11)),$D11+(($B11+$D11)*USA_Costs!$C$2)+((($B11+$D11)*USA_Costs!$C$2)*USA_Costs!$B$11)+USA_Costs!$B$12,"")</f>
        <v>206.56007999999997</v>
      </c>
      <c r="G11" s="5">
        <f>IF(NOT(ISBLANK($A11)),$C11+((D11+E11)*USA_Costs!$C$3)+(((D11+E11)*USA_Costs!$C$3)*USA_Costs!$B$11)+USA_Costs!$B$12,"")</f>
        <v>74.398890429999994</v>
      </c>
      <c r="H11" s="11">
        <f>IF(NOT(ISBLANK($A11)),$D11+((D11+F11)*USA_Costs!$C$3)+(((D11+F11)*USA_Costs!$C$3)*USA_Costs!$B$11)+USA_Costs!$B$12,"")</f>
        <v>73.47083271999999</v>
      </c>
      <c r="I11" s="5">
        <f>IF(NOT(ISBLANK($A11)),$C11+(($B11+$C11)*USA_Costs!$C$9)+((($B11+$C11)*USA_Costs!$C$9)*USA_Costs!$B$11)+USA_Costs!$B$12,"")</f>
        <v>116.777885</v>
      </c>
      <c r="J11" s="11">
        <f>IF(NOT(ISBLANK($A11)),$D11+(($B11+$D11)*USA_Costs!$C$9)+((($B11+$D11)*USA_Costs!$C$9)*USA_Costs!$B$11)+USA_Costs!$B$12,"")</f>
        <v>115.95703999999999</v>
      </c>
    </row>
    <row r="12" spans="1:10" x14ac:dyDescent="0.2">
      <c r="A12" s="6" t="s">
        <v>13</v>
      </c>
      <c r="B12" s="7">
        <v>900</v>
      </c>
      <c r="C12" s="7">
        <f>_xlfn.XLOOKUP(A12,PostalCost_International!G:G,PostalCost_International!M:M,"Not Found")</f>
        <v>24.403500000000001</v>
      </c>
      <c r="D12" s="7">
        <f>_xlfn.XLOOKUP(A12,PostalCost_International!G:G,PostalCost_International!N:N,"Not Found")</f>
        <v>23.664000000000001</v>
      </c>
      <c r="E12" s="5">
        <f>IF(NOT(ISBLANK($A12)),$C12+(($B12+$C12)*USA_Costs!$C$2)+((($B12+$C12)*USA_Costs!$C$2)*USA_Costs!$B$11)+USA_Costs!$B$12,"")</f>
        <v>229.46227000000002</v>
      </c>
      <c r="F12" s="11">
        <f>IF(NOT(ISBLANK($A12)),$D12+(($B12+$D12)*USA_Costs!$C$2)+((($B12+$D12)*USA_Costs!$C$2)*USA_Costs!$B$11)+USA_Costs!$B$12,"")</f>
        <v>228.56007999999997</v>
      </c>
      <c r="G12" s="5">
        <f>IF(NOT(ISBLANK($A12)),$C12+((D12+E12)*USA_Costs!$C$3)+(((D12+E12)*USA_Costs!$C$3)*USA_Costs!$B$11)+USA_Costs!$B$12,"")</f>
        <v>78.996890430000008</v>
      </c>
      <c r="H12" s="11">
        <f>IF(NOT(ISBLANK($A12)),$D12+((D12+F12)*USA_Costs!$C$3)+(((D12+F12)*USA_Costs!$C$3)*USA_Costs!$B$11)+USA_Costs!$B$12,"")</f>
        <v>78.068832719999989</v>
      </c>
      <c r="I12" s="5">
        <f>IF(NOT(ISBLANK($A12)),$C12+(($B12+$C12)*USA_Costs!$C$9)+((($B12+$C12)*USA_Costs!$C$9)*USA_Costs!$B$11)+USA_Costs!$B$12,"")</f>
        <v>127.777885</v>
      </c>
      <c r="J12" s="11">
        <f>IF(NOT(ISBLANK($A12)),$D12+(($B12+$D12)*USA_Costs!$C$9)+((($B12+$D12)*USA_Costs!$C$9)*USA_Costs!$B$11)+USA_Costs!$B$12,"")</f>
        <v>126.95703999999999</v>
      </c>
    </row>
    <row r="13" spans="1:10" x14ac:dyDescent="0.2">
      <c r="A13" s="6" t="s">
        <v>13</v>
      </c>
      <c r="B13" s="7">
        <v>1000</v>
      </c>
      <c r="C13" s="7">
        <f>_xlfn.XLOOKUP(A13,PostalCost_International!G:G,PostalCost_International!M:M,"Not Found")</f>
        <v>24.403500000000001</v>
      </c>
      <c r="D13" s="7">
        <f>_xlfn.XLOOKUP(A13,PostalCost_International!G:G,PostalCost_International!N:N,"Not Found")</f>
        <v>23.664000000000001</v>
      </c>
      <c r="E13" s="5">
        <f>IF(NOT(ISBLANK($A13)),$C13+(($B13+$C13)*USA_Costs!$C$2)+((($B13+$C13)*USA_Costs!$C$2)*USA_Costs!$B$11)+USA_Costs!$B$12,"")</f>
        <v>251.46226999999999</v>
      </c>
      <c r="F13" s="11">
        <f>IF(NOT(ISBLANK($A13)),$D13+(($B13+$D13)*USA_Costs!$C$2)+((($B13+$D13)*USA_Costs!$C$2)*USA_Costs!$B$11)+USA_Costs!$B$12,"")</f>
        <v>250.56007999999997</v>
      </c>
      <c r="G13" s="5">
        <f>IF(NOT(ISBLANK($A13)),$C13+((D13+E13)*USA_Costs!$C$3)+(((D13+E13)*USA_Costs!$C$3)*USA_Costs!$B$11)+USA_Costs!$B$12,"")</f>
        <v>83.594890429999992</v>
      </c>
      <c r="H13" s="11">
        <f>IF(NOT(ISBLANK($A13)),$D13+((D13+F13)*USA_Costs!$C$3)+(((D13+F13)*USA_Costs!$C$3)*USA_Costs!$B$11)+USA_Costs!$B$12,"")</f>
        <v>82.666832719999988</v>
      </c>
      <c r="I13" s="5">
        <f>IF(NOT(ISBLANK($A13)),$C13+(($B13+$C13)*USA_Costs!$C$9)+((($B13+$C13)*USA_Costs!$C$9)*USA_Costs!$B$11)+USA_Costs!$B$12,"")</f>
        <v>138.777885</v>
      </c>
      <c r="J13" s="11">
        <f>IF(NOT(ISBLANK($A13)),$D13+(($B13+$D13)*USA_Costs!$C$9)+((($B13+$D13)*USA_Costs!$C$9)*USA_Costs!$B$11)+USA_Costs!$B$12,"")</f>
        <v>137.95704000000001</v>
      </c>
    </row>
    <row r="14" spans="1:10" x14ac:dyDescent="0.2">
      <c r="A14" s="6"/>
      <c r="B14" s="7"/>
      <c r="C14" s="7"/>
      <c r="D14" s="7"/>
      <c r="E14" s="5" t="str">
        <f>IF(NOT(ISBLANK($A14)),$C14+(($B14+$C14)*USA_Costs!$C$2)+((($B14+$C14)*USA_Costs!$C$2)*USA_Costs!$B$11)+USA_Costs!$B$12,"")</f>
        <v/>
      </c>
      <c r="F14" s="11" t="str">
        <f>IF(NOT(ISBLANK($A14)),$D14+(($B14+$D14)*USA_Costs!$C$2)+((($B14+$D14)*USA_Costs!$C$2)*USA_Costs!$B$11)+USA_Costs!$B$12,"")</f>
        <v/>
      </c>
      <c r="G14" s="5" t="str">
        <f>IF(NOT(ISBLANK($A14)),$C14+((D14+E14)*USA_Costs!$C$3)+(((D14+E14)*USA_Costs!$C$3)*USA_Costs!$B$11)+USA_Costs!$B$12,"")</f>
        <v/>
      </c>
      <c r="H14" s="11" t="str">
        <f>IF(NOT(ISBLANK($A14)),$D14+((D14+F14)*USA_Costs!$C$3)+(((D14+F14)*USA_Costs!$C$3)*USA_Costs!$B$11)+USA_Costs!$B$12,"")</f>
        <v/>
      </c>
      <c r="I14" s="5" t="str">
        <f>IF(NOT(ISBLANK($A14)),$C14+(($B14+$C14)*USA_Costs!$C$9)+((($B14+$C14)*USA_Costs!$C$9)*USA_Costs!$B$11)+USA_Costs!$B$12,"")</f>
        <v/>
      </c>
      <c r="J14" s="11" t="str">
        <f>IF(NOT(ISBLANK($A14)),$D14+(($B14+$D14)*USA_Costs!$C$9)+((($B14+$D14)*USA_Costs!$C$9)*USA_Costs!$B$11)+USA_Costs!$B$12,"")</f>
        <v/>
      </c>
    </row>
    <row r="15" spans="1:10" x14ac:dyDescent="0.2">
      <c r="A15" s="6" t="s">
        <v>14</v>
      </c>
      <c r="B15" s="7">
        <v>100</v>
      </c>
      <c r="C15" s="7">
        <f>_xlfn.XLOOKUP(A15,PostalCost_International!G:G,PostalCost_International!M:M,"Not Found")</f>
        <v>35.511299999999999</v>
      </c>
      <c r="D15" s="7">
        <f>_xlfn.XLOOKUP(A15,PostalCost_International!G:G,PostalCost_International!N:N,"Not Found")</f>
        <v>34.435200000000002</v>
      </c>
      <c r="E15" s="5">
        <f>IF(NOT(ISBLANK($A15)),$C15+(($B15+$C15)*USA_Costs!$C$2)+((($B15+$C15)*USA_Costs!$C$2)*USA_Costs!$B$11)+USA_Costs!$B$12,"")</f>
        <v>67.013785999999996</v>
      </c>
      <c r="F15" s="11">
        <f>IF(NOT(ISBLANK($A15)),$D15+(($B15+$D15)*USA_Costs!$C$2)+((($B15+$D15)*USA_Costs!$C$2)*USA_Costs!$B$11)+USA_Costs!$B$12,"")</f>
        <v>65.700944000000007</v>
      </c>
      <c r="G15" s="5">
        <f>IF(NOT(ISBLANK($A15)),$C15+(($B15+$C15)*USA_Costs!$C$3)+((($B15+$C15)*USA_Costs!$C$3)*USA_Costs!$B$11)+USA_Costs!$B$12,"")</f>
        <v>65.523161700000003</v>
      </c>
      <c r="H15" s="11">
        <f>IF(NOT(ISBLANK($A15)),$D15+(($B15+$D15)*USA_Costs!$C$3)+((($B15+$D15)*USA_Costs!$C$3)*USA_Costs!$B$11)+USA_Costs!$B$12,"")</f>
        <v>64.222156800000008</v>
      </c>
      <c r="I15" s="5">
        <f>IF(NOT(ISBLANK($A15)),$C15+(($B15+$C15)*USA_Costs!$C$9)+((($B15+$C15)*USA_Costs!$C$9)*USA_Costs!$B$11)+USA_Costs!$B$12,"")</f>
        <v>52.107543</v>
      </c>
      <c r="J15" s="11">
        <f>IF(NOT(ISBLANK($A15)),$D15+(($B15+$D15)*USA_Costs!$C$9)+((($B15+$D15)*USA_Costs!$C$9)*USA_Costs!$B$11)+USA_Costs!$B$12,"")</f>
        <v>50.913072</v>
      </c>
    </row>
    <row r="16" spans="1:10" x14ac:dyDescent="0.2">
      <c r="A16" s="6" t="s">
        <v>14</v>
      </c>
      <c r="B16" s="7">
        <v>200</v>
      </c>
      <c r="C16" s="7">
        <f>_xlfn.XLOOKUP(A16,PostalCost_International!G:G,PostalCost_International!M:M,"Not Found")</f>
        <v>35.511299999999999</v>
      </c>
      <c r="D16" s="7">
        <f>_xlfn.XLOOKUP(A16,PostalCost_International!G:G,PostalCost_International!N:N,"Not Found")</f>
        <v>34.435200000000002</v>
      </c>
      <c r="E16" s="5">
        <f>IF(NOT(ISBLANK($A16)),$C16+(($B16+$C16)*USA_Costs!$C$2)+((($B16+$C16)*USA_Costs!$C$2)*USA_Costs!$B$11)+USA_Costs!$B$12,"")</f>
        <v>89.01378600000001</v>
      </c>
      <c r="F16" s="11">
        <f>IF(NOT(ISBLANK($A16)),$D16+(($B16+$D16)*USA_Costs!$C$2)+((($B16+$D16)*USA_Costs!$C$2)*USA_Costs!$B$11)+USA_Costs!$B$12,"")</f>
        <v>87.700944000000007</v>
      </c>
      <c r="G16" s="5">
        <f>IF(NOT(ISBLANK($A16)),$C16+(($B16+$C16)*USA_Costs!$C$3)+((($B16+$C16)*USA_Costs!$C$3)*USA_Costs!$B$11)+USA_Costs!$B$12,"")</f>
        <v>86.42316169999998</v>
      </c>
      <c r="H16" s="11">
        <f>IF(NOT(ISBLANK($A16)),$D16+(($B16+$D16)*USA_Costs!$C$3)+((($B16+$D16)*USA_Costs!$C$3)*USA_Costs!$B$11)+USA_Costs!$B$12,"")</f>
        <v>85.122156799999999</v>
      </c>
      <c r="I16" s="5">
        <f>IF(NOT(ISBLANK($A16)),$C16+(($B16+$C16)*USA_Costs!$C$9)+((($B16+$C16)*USA_Costs!$C$9)*USA_Costs!$B$11)+USA_Costs!$B$12,"")</f>
        <v>63.107543</v>
      </c>
      <c r="J16" s="11">
        <f>IF(NOT(ISBLANK($A16)),$D16+(($B16+$D16)*USA_Costs!$C$9)+((($B16+$D16)*USA_Costs!$C$9)*USA_Costs!$B$11)+USA_Costs!$B$12,"")</f>
        <v>61.913072</v>
      </c>
    </row>
    <row r="17" spans="1:10" x14ac:dyDescent="0.2">
      <c r="A17" s="6" t="s">
        <v>14</v>
      </c>
      <c r="B17" s="7">
        <v>300</v>
      </c>
      <c r="C17" s="7">
        <f>_xlfn.XLOOKUP(A17,PostalCost_International!G:G,PostalCost_International!M:M,"Not Found")</f>
        <v>35.511299999999999</v>
      </c>
      <c r="D17" s="7">
        <f>_xlfn.XLOOKUP(A17,PostalCost_International!G:G,PostalCost_International!N:N,"Not Found")</f>
        <v>34.435200000000002</v>
      </c>
      <c r="E17" s="5">
        <f>IF(NOT(ISBLANK($A17)),$C17+(($B17+$C17)*USA_Costs!$C$2)+((($B17+$C17)*USA_Costs!$C$2)*USA_Costs!$B$11)+USA_Costs!$B$12,"")</f>
        <v>111.01378600000001</v>
      </c>
      <c r="F17" s="11">
        <f>IF(NOT(ISBLANK($A17)),$D17+(($B17+$D17)*USA_Costs!$C$2)+((($B17+$D17)*USA_Costs!$C$2)*USA_Costs!$B$11)+USA_Costs!$B$12,"")</f>
        <v>109.70094399999999</v>
      </c>
      <c r="G17" s="5">
        <f>IF(NOT(ISBLANK($A17)),$C17+(($B17+$C17)*USA_Costs!$C$3)+((($B17+$C17)*USA_Costs!$C$3)*USA_Costs!$B$11)+USA_Costs!$B$12,"")</f>
        <v>107.3231617</v>
      </c>
      <c r="H17" s="11">
        <f>IF(NOT(ISBLANK($A17)),$D17+(($B17+$D17)*USA_Costs!$C$3)+((($B17+$D17)*USA_Costs!$C$3)*USA_Costs!$B$11)+USA_Costs!$B$12,"")</f>
        <v>106.0221568</v>
      </c>
      <c r="I17" s="5">
        <f>IF(NOT(ISBLANK($A17)),$C17+(($B17+$C17)*USA_Costs!$C$9)+((($B17+$C17)*USA_Costs!$C$9)*USA_Costs!$B$11)+USA_Costs!$B$12,"")</f>
        <v>74.107543000000007</v>
      </c>
      <c r="J17" s="11">
        <f>IF(NOT(ISBLANK($A17)),$D17+(($B17+$D17)*USA_Costs!$C$9)+((($B17+$D17)*USA_Costs!$C$9)*USA_Costs!$B$11)+USA_Costs!$B$12,"")</f>
        <v>72.913072</v>
      </c>
    </row>
    <row r="18" spans="1:10" x14ac:dyDescent="0.2">
      <c r="A18" s="6" t="s">
        <v>14</v>
      </c>
      <c r="B18" s="7">
        <v>400</v>
      </c>
      <c r="C18" s="7">
        <f>_xlfn.XLOOKUP(A18,PostalCost_International!G:G,PostalCost_International!M:M,"Not Found")</f>
        <v>35.511299999999999</v>
      </c>
      <c r="D18" s="7">
        <f>_xlfn.XLOOKUP(A18,PostalCost_International!G:G,PostalCost_International!N:N,"Not Found")</f>
        <v>34.435200000000002</v>
      </c>
      <c r="E18" s="5">
        <f>IF(NOT(ISBLANK($A18)),$C18+(($B18+$C18)*USA_Costs!$C$2)+((($B18+$C18)*USA_Costs!$C$2)*USA_Costs!$B$11)+USA_Costs!$B$12,"")</f>
        <v>133.01378600000001</v>
      </c>
      <c r="F18" s="11">
        <f>IF(NOT(ISBLANK($A18)),$D18+(($B18+$D18)*USA_Costs!$C$2)+((($B18+$D18)*USA_Costs!$C$2)*USA_Costs!$B$11)+USA_Costs!$B$12,"")</f>
        <v>131.70094400000002</v>
      </c>
      <c r="G18" s="5">
        <f>IF(NOT(ISBLANK($A18)),$C18+(($B18+$C18)*USA_Costs!$C$3)+((($B18+$C18)*USA_Costs!$C$3)*USA_Costs!$B$11)+USA_Costs!$B$12,"")</f>
        <v>128.22316169999999</v>
      </c>
      <c r="H18" s="11">
        <f>IF(NOT(ISBLANK($A18)),$D18+(($B18+$D18)*USA_Costs!$C$3)+((($B18+$D18)*USA_Costs!$C$3)*USA_Costs!$B$11)+USA_Costs!$B$12,"")</f>
        <v>126.92215680000001</v>
      </c>
      <c r="I18" s="5">
        <f>IF(NOT(ISBLANK($A18)),$C18+(($B18+$C18)*USA_Costs!$C$9)+((($B18+$C18)*USA_Costs!$C$9)*USA_Costs!$B$11)+USA_Costs!$B$12,"")</f>
        <v>85.107543000000007</v>
      </c>
      <c r="J18" s="11">
        <f>IF(NOT(ISBLANK($A18)),$D18+(($B18+$D18)*USA_Costs!$C$9)+((($B18+$D18)*USA_Costs!$C$9)*USA_Costs!$B$11)+USA_Costs!$B$12,"")</f>
        <v>83.913072000000014</v>
      </c>
    </row>
    <row r="19" spans="1:10" x14ac:dyDescent="0.2">
      <c r="A19" s="6" t="s">
        <v>14</v>
      </c>
      <c r="B19" s="7">
        <v>500</v>
      </c>
      <c r="C19" s="7">
        <f>_xlfn.XLOOKUP(A19,PostalCost_International!G:G,PostalCost_International!M:M,"Not Found")</f>
        <v>35.511299999999999</v>
      </c>
      <c r="D19" s="7">
        <f>_xlfn.XLOOKUP(A19,PostalCost_International!G:G,PostalCost_International!N:N,"Not Found")</f>
        <v>34.435200000000002</v>
      </c>
      <c r="E19" s="5">
        <f>IF(NOT(ISBLANK($A19)),$C19+(($B19+$C19)*USA_Costs!$C$2)+((($B19+$C19)*USA_Costs!$C$2)*USA_Costs!$B$11)+USA_Costs!$B$12,"")</f>
        <v>155.01378600000001</v>
      </c>
      <c r="F19" s="11">
        <f>IF(NOT(ISBLANK($A19)),$D19+(($B19+$D19)*USA_Costs!$C$2)+((($B19+$D19)*USA_Costs!$C$2)*USA_Costs!$B$11)+USA_Costs!$B$12,"")</f>
        <v>153.70094400000002</v>
      </c>
      <c r="G19" s="5">
        <f>IF(NOT(ISBLANK($A19)),$C19+(($B19+$C19)*USA_Costs!$C$3)+((($B19+$C19)*USA_Costs!$C$3)*USA_Costs!$B$11)+USA_Costs!$B$12,"")</f>
        <v>149.1231617</v>
      </c>
      <c r="H19" s="11">
        <f>IF(NOT(ISBLANK($A19)),$D19+(($B19+$D19)*USA_Costs!$C$3)+((($B19+$D19)*USA_Costs!$C$3)*USA_Costs!$B$11)+USA_Costs!$B$12,"")</f>
        <v>147.82215680000002</v>
      </c>
      <c r="I19" s="5">
        <f>IF(NOT(ISBLANK($A19)),$C19+(($B19+$C19)*USA_Costs!$C$9)+((($B19+$C19)*USA_Costs!$C$9)*USA_Costs!$B$11)+USA_Costs!$B$12,"")</f>
        <v>96.107543000000007</v>
      </c>
      <c r="J19" s="11">
        <f>IF(NOT(ISBLANK($A19)),$D19+(($B19+$D19)*USA_Costs!$C$9)+((($B19+$D19)*USA_Costs!$C$9)*USA_Costs!$B$11)+USA_Costs!$B$12,"")</f>
        <v>94.913072000000014</v>
      </c>
    </row>
    <row r="20" spans="1:10" x14ac:dyDescent="0.2">
      <c r="A20" s="6" t="s">
        <v>14</v>
      </c>
      <c r="B20" s="7">
        <v>600</v>
      </c>
      <c r="C20" s="7">
        <f>_xlfn.XLOOKUP(A20,PostalCost_International!G:G,PostalCost_International!M:M,"Not Found")</f>
        <v>35.511299999999999</v>
      </c>
      <c r="D20" s="7">
        <f>_xlfn.XLOOKUP(A20,PostalCost_International!G:G,PostalCost_International!N:N,"Not Found")</f>
        <v>34.435200000000002</v>
      </c>
      <c r="E20" s="5">
        <f>IF(NOT(ISBLANK($A20)),$C20+(($B20+$C20)*USA_Costs!$C$2)+((($B20+$C20)*USA_Costs!$C$2)*USA_Costs!$B$11)+USA_Costs!$B$12,"")</f>
        <v>177.01378600000001</v>
      </c>
      <c r="F20" s="11">
        <f>IF(NOT(ISBLANK($A20)),$D20+(($B20+$D20)*USA_Costs!$C$2)+((($B20+$D20)*USA_Costs!$C$2)*USA_Costs!$B$11)+USA_Costs!$B$12,"")</f>
        <v>175.70094400000002</v>
      </c>
      <c r="G20" s="5">
        <f>IF(NOT(ISBLANK($A20)),$C20+(($B20+$C20)*USA_Costs!$C$3)+((($B20+$C20)*USA_Costs!$C$3)*USA_Costs!$B$11)+USA_Costs!$B$12,"")</f>
        <v>170.0231617</v>
      </c>
      <c r="H20" s="11">
        <f>IF(NOT(ISBLANK($A20)),$D20+(($B20+$D20)*USA_Costs!$C$3)+((($B20+$D20)*USA_Costs!$C$3)*USA_Costs!$B$11)+USA_Costs!$B$12,"")</f>
        <v>168.72215679999999</v>
      </c>
      <c r="I20" s="5">
        <f>IF(NOT(ISBLANK($A20)),$C20+(($B20+$C20)*USA_Costs!$C$9)+((($B20+$C20)*USA_Costs!$C$9)*USA_Costs!$B$11)+USA_Costs!$B$12,"")</f>
        <v>107.10754300000001</v>
      </c>
      <c r="J20" s="11">
        <f>IF(NOT(ISBLANK($A20)),$D20+(($B20+$D20)*USA_Costs!$C$9)+((($B20+$D20)*USA_Costs!$C$9)*USA_Costs!$B$11)+USA_Costs!$B$12,"")</f>
        <v>105.91307200000001</v>
      </c>
    </row>
    <row r="21" spans="1:10" x14ac:dyDescent="0.2">
      <c r="A21" s="6" t="s">
        <v>14</v>
      </c>
      <c r="B21" s="7">
        <v>700</v>
      </c>
      <c r="C21" s="7">
        <f>_xlfn.XLOOKUP(A21,PostalCost_International!G:G,PostalCost_International!M:M,"Not Found")</f>
        <v>35.511299999999999</v>
      </c>
      <c r="D21" s="7">
        <f>_xlfn.XLOOKUP(A21,PostalCost_International!G:G,PostalCost_International!N:N,"Not Found")</f>
        <v>34.435200000000002</v>
      </c>
      <c r="E21" s="5">
        <f>IF(NOT(ISBLANK($A21)),$C21+(($B21+$C21)*USA_Costs!$C$2)+((($B21+$C21)*USA_Costs!$C$2)*USA_Costs!$B$11)+USA_Costs!$B$12,"")</f>
        <v>199.01378600000001</v>
      </c>
      <c r="F21" s="11">
        <f>IF(NOT(ISBLANK($A21)),$D21+(($B21+$D21)*USA_Costs!$C$2)+((($B21+$D21)*USA_Costs!$C$2)*USA_Costs!$B$11)+USA_Costs!$B$12,"")</f>
        <v>197.70094400000002</v>
      </c>
      <c r="G21" s="5">
        <f>IF(NOT(ISBLANK($A21)),$C21+(($B21+$C21)*USA_Costs!$C$3)+((($B21+$C21)*USA_Costs!$C$3)*USA_Costs!$B$11)+USA_Costs!$B$12,"")</f>
        <v>190.92316170000001</v>
      </c>
      <c r="H21" s="11">
        <f>IF(NOT(ISBLANK($A21)),$D21+(($B21+$D21)*USA_Costs!$C$3)+((($B21+$D21)*USA_Costs!$C$3)*USA_Costs!$B$11)+USA_Costs!$B$12,"")</f>
        <v>189.6221568</v>
      </c>
      <c r="I21" s="5">
        <f>IF(NOT(ISBLANK($A21)),$C21+(($B21+$C21)*USA_Costs!$C$9)+((($B21+$C21)*USA_Costs!$C$9)*USA_Costs!$B$11)+USA_Costs!$B$12,"")</f>
        <v>118.10754300000001</v>
      </c>
      <c r="J21" s="11">
        <f>IF(NOT(ISBLANK($A21)),$D21+(($B21+$D21)*USA_Costs!$C$9)+((($B21+$D21)*USA_Costs!$C$9)*USA_Costs!$B$11)+USA_Costs!$B$12,"")</f>
        <v>116.91307200000001</v>
      </c>
    </row>
    <row r="22" spans="1:10" x14ac:dyDescent="0.2">
      <c r="A22" s="6" t="s">
        <v>14</v>
      </c>
      <c r="B22" s="7">
        <v>800</v>
      </c>
      <c r="C22" s="7">
        <f>_xlfn.XLOOKUP(A22,PostalCost_International!G:G,PostalCost_International!M:M,"Not Found")</f>
        <v>35.511299999999999</v>
      </c>
      <c r="D22" s="7">
        <f>_xlfn.XLOOKUP(A22,PostalCost_International!G:G,PostalCost_International!N:N,"Not Found")</f>
        <v>34.435200000000002</v>
      </c>
      <c r="E22" s="5">
        <f>IF(NOT(ISBLANK($A22)),$C22+(($B22+$C22)*USA_Costs!$C$2)+((($B22+$C22)*USA_Costs!$C$2)*USA_Costs!$B$11)+USA_Costs!$B$12,"")</f>
        <v>221.01378600000001</v>
      </c>
      <c r="F22" s="11">
        <f>IF(NOT(ISBLANK($A22)),$D22+(($B22+$D22)*USA_Costs!$C$2)+((($B22+$D22)*USA_Costs!$C$2)*USA_Costs!$B$11)+USA_Costs!$B$12,"")</f>
        <v>219.70094400000002</v>
      </c>
      <c r="G22" s="5">
        <f>IF(NOT(ISBLANK($A22)),$C22+(($B22+$C22)*USA_Costs!$C$3)+((($B22+$C22)*USA_Costs!$C$3)*USA_Costs!$B$11)+USA_Costs!$B$12,"")</f>
        <v>211.82316170000001</v>
      </c>
      <c r="H22" s="11">
        <f>IF(NOT(ISBLANK($A22)),$D22+(($B22+$D22)*USA_Costs!$C$3)+((($B22+$D22)*USA_Costs!$C$3)*USA_Costs!$B$11)+USA_Costs!$B$12,"")</f>
        <v>210.5221568</v>
      </c>
      <c r="I22" s="5">
        <f>IF(NOT(ISBLANK($A22)),$C22+(($B22+$C22)*USA_Costs!$C$9)+((($B22+$C22)*USA_Costs!$C$9)*USA_Costs!$B$11)+USA_Costs!$B$12,"")</f>
        <v>129.10754300000002</v>
      </c>
      <c r="J22" s="11">
        <f>IF(NOT(ISBLANK($A22)),$D22+(($B22+$D22)*USA_Costs!$C$9)+((($B22+$D22)*USA_Costs!$C$9)*USA_Costs!$B$11)+USA_Costs!$B$12,"")</f>
        <v>127.91307200000001</v>
      </c>
    </row>
    <row r="23" spans="1:10" x14ac:dyDescent="0.2">
      <c r="A23" s="6" t="s">
        <v>14</v>
      </c>
      <c r="B23" s="7">
        <v>900</v>
      </c>
      <c r="C23" s="7">
        <f>_xlfn.XLOOKUP(A23,PostalCost_International!G:G,PostalCost_International!M:M,"Not Found")</f>
        <v>35.511299999999999</v>
      </c>
      <c r="D23" s="7">
        <f>_xlfn.XLOOKUP(A23,PostalCost_International!G:G,PostalCost_International!N:N,"Not Found")</f>
        <v>34.435200000000002</v>
      </c>
      <c r="E23" s="5">
        <f>IF(NOT(ISBLANK($A23)),$C23+(($B23+$C23)*USA_Costs!$C$2)+((($B23+$C23)*USA_Costs!$C$2)*USA_Costs!$B$11)+USA_Costs!$B$12,"")</f>
        <v>243.01378600000001</v>
      </c>
      <c r="F23" s="11">
        <f>IF(NOT(ISBLANK($A23)),$D23+(($B23+$D23)*USA_Costs!$C$2)+((($B23+$D23)*USA_Costs!$C$2)*USA_Costs!$B$11)+USA_Costs!$B$12,"")</f>
        <v>241.70094400000002</v>
      </c>
      <c r="G23" s="5">
        <f>IF(NOT(ISBLANK($A23)),$C23+(($B23+$C23)*USA_Costs!$C$3)+((($B23+$C23)*USA_Costs!$C$3)*USA_Costs!$B$11)+USA_Costs!$B$12,"")</f>
        <v>232.72316170000002</v>
      </c>
      <c r="H23" s="11">
        <f>IF(NOT(ISBLANK($A23)),$D23+(($B23+$D23)*USA_Costs!$C$3)+((($B23+$D23)*USA_Costs!$C$3)*USA_Costs!$B$11)+USA_Costs!$B$12,"")</f>
        <v>231.42215680000001</v>
      </c>
      <c r="I23" s="5">
        <f>IF(NOT(ISBLANK($A23)),$C23+(($B23+$C23)*USA_Costs!$C$9)+((($B23+$C23)*USA_Costs!$C$9)*USA_Costs!$B$11)+USA_Costs!$B$12,"")</f>
        <v>140.10754299999999</v>
      </c>
      <c r="J23" s="11">
        <f>IF(NOT(ISBLANK($A23)),$D23+(($B23+$D23)*USA_Costs!$C$9)+((($B23+$D23)*USA_Costs!$C$9)*USA_Costs!$B$11)+USA_Costs!$B$12,"")</f>
        <v>138.913072</v>
      </c>
    </row>
    <row r="24" spans="1:10" x14ac:dyDescent="0.2">
      <c r="A24" s="6" t="s">
        <v>14</v>
      </c>
      <c r="B24" s="7">
        <v>1000</v>
      </c>
      <c r="C24" s="7">
        <f>_xlfn.XLOOKUP(A24,PostalCost_International!G:G,PostalCost_International!M:M,"Not Found")</f>
        <v>35.511299999999999</v>
      </c>
      <c r="D24" s="7">
        <f>_xlfn.XLOOKUP(A24,PostalCost_International!G:G,PostalCost_International!N:N,"Not Found")</f>
        <v>34.435200000000002</v>
      </c>
      <c r="E24" s="5">
        <f>IF(NOT(ISBLANK($A24)),$C24+(($B24+$C24)*USA_Costs!$C$2)+((($B24+$C24)*USA_Costs!$C$2)*USA_Costs!$B$11)+USA_Costs!$B$12,"")</f>
        <v>265.01378599999998</v>
      </c>
      <c r="F24" s="11">
        <f>IF(NOT(ISBLANK($A24)),$D24+(($B24+$D24)*USA_Costs!$C$2)+((($B24+$D24)*USA_Costs!$C$2)*USA_Costs!$B$11)+USA_Costs!$B$12,"")</f>
        <v>263.70094399999999</v>
      </c>
      <c r="G24" s="5">
        <f>IF(NOT(ISBLANK($A24)),$C24+(($B24+$C24)*USA_Costs!$C$3)+((($B24+$C24)*USA_Costs!$C$3)*USA_Costs!$B$11)+USA_Costs!$B$12,"")</f>
        <v>253.6231617</v>
      </c>
      <c r="H24" s="11">
        <f>IF(NOT(ISBLANK($A24)),$D24+(($B24+$D24)*USA_Costs!$C$3)+((($B24+$D24)*USA_Costs!$C$3)*USA_Costs!$B$11)+USA_Costs!$B$12,"")</f>
        <v>252.32215679999996</v>
      </c>
      <c r="I24" s="5">
        <f>IF(NOT(ISBLANK($A24)),$C24+(($B24+$C24)*USA_Costs!$C$9)+((($B24+$C24)*USA_Costs!$C$9)*USA_Costs!$B$11)+USA_Costs!$B$12,"")</f>
        <v>151.10754299999999</v>
      </c>
      <c r="J24" s="11">
        <f>IF(NOT(ISBLANK($A24)),$D24+(($B24+$D24)*USA_Costs!$C$9)+((($B24+$D24)*USA_Costs!$C$9)*USA_Costs!$B$11)+USA_Costs!$B$12,"")</f>
        <v>149.913072</v>
      </c>
    </row>
    <row r="25" spans="1:10" x14ac:dyDescent="0.2">
      <c r="A25" s="6"/>
      <c r="B25" s="7"/>
      <c r="C25" s="7"/>
      <c r="D25" s="7"/>
      <c r="E25" s="5" t="str">
        <f>IF(NOT(ISBLANK($A25)),$C25+(($B25+$C25)*USA_Costs!$C$2)+((($B25+$C25)*USA_Costs!$C$2)*USA_Costs!$B$11)+USA_Costs!$B$12,"")</f>
        <v/>
      </c>
      <c r="F25" s="11" t="str">
        <f>IF(NOT(ISBLANK($A25)),$D25+(($B25+$D25)*USA_Costs!$C$2)+((($B25+$D25)*USA_Costs!$C$2)*USA_Costs!$B$11)+USA_Costs!$B$12,"")</f>
        <v/>
      </c>
      <c r="G25" s="5" t="str">
        <f>IF(NOT(ISBLANK($A25)),$C25+(($B25+$C25)*USA_Costs!$C$3)+((($B25+$C25)*USA_Costs!$C$3)*USA_Costs!$B$11)+USA_Costs!$B$12,"")</f>
        <v/>
      </c>
      <c r="H25" s="11" t="str">
        <f>IF(NOT(ISBLANK($A25)),$D25+(($B25+$D25)*USA_Costs!$C$3)+((($B25+$D25)*USA_Costs!$C$3)*USA_Costs!$B$11)+USA_Costs!$B$12,"")</f>
        <v/>
      </c>
      <c r="I25" s="5" t="str">
        <f>IF(NOT(ISBLANK($A25)),$C25+(($B25+$C25)*USA_Costs!$C$9)+((($B25+$C25)*USA_Costs!$C$9)*USA_Costs!$B$11)+USA_Costs!$B$12,"")</f>
        <v/>
      </c>
      <c r="J25" s="11" t="str">
        <f>IF(NOT(ISBLANK($A25)),$D25+(($B25+$D25)*USA_Costs!$C$9)+((($B25+$D25)*USA_Costs!$C$9)*USA_Costs!$B$11)+USA_Costs!$B$12,"")</f>
        <v/>
      </c>
    </row>
    <row r="26" spans="1:10" x14ac:dyDescent="0.2">
      <c r="A26" s="6" t="s">
        <v>15</v>
      </c>
      <c r="B26" s="7">
        <v>100</v>
      </c>
      <c r="C26" s="7">
        <f>_xlfn.XLOOKUP(A26,PostalCost_International!G:G,PostalCost_International!M:M,"Not Found")</f>
        <v>46.745325000000001</v>
      </c>
      <c r="D26" s="7">
        <f>_xlfn.XLOOKUP(A26,PostalCost_International!G:G,PostalCost_International!N:N,"Not Found")</f>
        <v>45.328800000000001</v>
      </c>
      <c r="E26" s="5">
        <f>IF(NOT(ISBLANK($A26)),$C26+(($B26+$C26)*USA_Costs!$C$2)+((($B26+$C26)*USA_Costs!$C$2)*USA_Costs!$B$11)+USA_Costs!$B$12,"")</f>
        <v>80.719296499999999</v>
      </c>
      <c r="F26" s="11">
        <f>IF(NOT(ISBLANK($A26)),$D26+(($B26+$D26)*USA_Costs!$C$2)+((($B26+$D26)*USA_Costs!$C$2)*USA_Costs!$B$11)+USA_Costs!$B$12,"")</f>
        <v>78.991135999999997</v>
      </c>
      <c r="G26" s="5">
        <f>IF(NOT(ISBLANK($A26)),$C26+(($B26+$C26)*USA_Costs!$C$3)+((($B26+$C26)*USA_Costs!$C$3)*USA_Costs!$B$11)+USA_Costs!$B$12,"")</f>
        <v>79.105097924999995</v>
      </c>
      <c r="H26" s="11">
        <f>IF(NOT(ISBLANK($A26)),$D26+(($B26+$D26)*USA_Costs!$C$3)+((($B26+$D26)*USA_Costs!$C$3)*USA_Costs!$B$11)+USA_Costs!$B$12,"")</f>
        <v>77.392519199999995</v>
      </c>
      <c r="I26" s="5">
        <f>IF(NOT(ISBLANK($A26)),$C26+(($B26+$C26)*USA_Costs!$C$9)+((($B26+$C26)*USA_Costs!$C$9)*USA_Costs!$B$11)+USA_Costs!$B$12,"")</f>
        <v>64.577310750000009</v>
      </c>
      <c r="J26" s="11">
        <f>IF(NOT(ISBLANK($A26)),$D26+(($B26+$D26)*USA_Costs!$C$9)+((($B26+$D26)*USA_Costs!$C$9)*USA_Costs!$B$11)+USA_Costs!$B$12,"")</f>
        <v>63.004967999999998</v>
      </c>
    </row>
    <row r="27" spans="1:10" x14ac:dyDescent="0.2">
      <c r="A27" s="6" t="s">
        <v>15</v>
      </c>
      <c r="B27" s="7">
        <v>200</v>
      </c>
      <c r="C27" s="7">
        <f>_xlfn.XLOOKUP(A27,PostalCost_International!G:G,PostalCost_International!M:M,"Not Found")</f>
        <v>46.745325000000001</v>
      </c>
      <c r="D27" s="7">
        <f>_xlfn.XLOOKUP(A27,PostalCost_International!G:G,PostalCost_International!N:N,"Not Found")</f>
        <v>45.328800000000001</v>
      </c>
      <c r="E27" s="5">
        <f>IF(NOT(ISBLANK($A27)),$C27+(($B27+$C27)*USA_Costs!$C$2)+((($B27+$C27)*USA_Costs!$C$2)*USA_Costs!$B$11)+USA_Costs!$B$12,"")</f>
        <v>102.7192965</v>
      </c>
      <c r="F27" s="11">
        <f>IF(NOT(ISBLANK($A27)),$D27+(($B27+$D27)*USA_Costs!$C$2)+((($B27+$D27)*USA_Costs!$C$2)*USA_Costs!$B$11)+USA_Costs!$B$12,"")</f>
        <v>100.99113600000001</v>
      </c>
      <c r="G27" s="5">
        <f>IF(NOT(ISBLANK($A27)),$C27+(($B27+$C27)*USA_Costs!$C$3)+((($B27+$C27)*USA_Costs!$C$3)*USA_Costs!$B$11)+USA_Costs!$B$12,"")</f>
        <v>100.005097925</v>
      </c>
      <c r="H27" s="11">
        <f>IF(NOT(ISBLANK($A27)),$D27+(($B27+$D27)*USA_Costs!$C$3)+((($B27+$D27)*USA_Costs!$C$3)*USA_Costs!$B$11)+USA_Costs!$B$12,"")</f>
        <v>98.292519200000001</v>
      </c>
      <c r="I27" s="5">
        <f>IF(NOT(ISBLANK($A27)),$C27+(($B27+$C27)*USA_Costs!$C$9)+((($B27+$C27)*USA_Costs!$C$9)*USA_Costs!$B$11)+USA_Costs!$B$12,"")</f>
        <v>75.577310750000009</v>
      </c>
      <c r="J27" s="11">
        <f>IF(NOT(ISBLANK($A27)),$D27+(($B27+$D27)*USA_Costs!$C$9)+((($B27+$D27)*USA_Costs!$C$9)*USA_Costs!$B$11)+USA_Costs!$B$12,"")</f>
        <v>74.004968000000005</v>
      </c>
    </row>
    <row r="28" spans="1:10" x14ac:dyDescent="0.2">
      <c r="A28" s="6" t="s">
        <v>15</v>
      </c>
      <c r="B28" s="7">
        <v>300</v>
      </c>
      <c r="C28" s="7">
        <f>_xlfn.XLOOKUP(A28,PostalCost_International!G:G,PostalCost_International!M:M,"Not Found")</f>
        <v>46.745325000000001</v>
      </c>
      <c r="D28" s="7">
        <f>_xlfn.XLOOKUP(A28,PostalCost_International!G:G,PostalCost_International!N:N,"Not Found")</f>
        <v>45.328800000000001</v>
      </c>
      <c r="E28" s="5">
        <f>IF(NOT(ISBLANK($A28)),$C28+(($B28+$C28)*USA_Costs!$C$2)+((($B28+$C28)*USA_Costs!$C$2)*USA_Costs!$B$11)+USA_Costs!$B$12,"")</f>
        <v>124.7192965</v>
      </c>
      <c r="F28" s="11">
        <f>IF(NOT(ISBLANK($A28)),$D28+(($B28+$D28)*USA_Costs!$C$2)+((($B28+$D28)*USA_Costs!$C$2)*USA_Costs!$B$11)+USA_Costs!$B$12,"")</f>
        <v>122.991136</v>
      </c>
      <c r="G28" s="5">
        <f>IF(NOT(ISBLANK($A28)),$C28+(($B28+$C28)*USA_Costs!$C$3)+((($B28+$C28)*USA_Costs!$C$3)*USA_Costs!$B$11)+USA_Costs!$B$12,"")</f>
        <v>120.90509792499999</v>
      </c>
      <c r="H28" s="11">
        <f>IF(NOT(ISBLANK($A28)),$D28+(($B28+$D28)*USA_Costs!$C$3)+((($B28+$D28)*USA_Costs!$C$3)*USA_Costs!$B$11)+USA_Costs!$B$12,"")</f>
        <v>119.19251919999999</v>
      </c>
      <c r="I28" s="5">
        <f>IF(NOT(ISBLANK($A28)),$C28+(($B28+$C28)*USA_Costs!$C$9)+((($B28+$C28)*USA_Costs!$C$9)*USA_Costs!$B$11)+USA_Costs!$B$12,"")</f>
        <v>86.577310750000009</v>
      </c>
      <c r="J28" s="11">
        <f>IF(NOT(ISBLANK($A28)),$D28+(($B28+$D28)*USA_Costs!$C$9)+((($B28+$D28)*USA_Costs!$C$9)*USA_Costs!$B$11)+USA_Costs!$B$12,"")</f>
        <v>85.004968000000005</v>
      </c>
    </row>
    <row r="29" spans="1:10" x14ac:dyDescent="0.2">
      <c r="A29" s="6" t="s">
        <v>15</v>
      </c>
      <c r="B29" s="7">
        <v>400</v>
      </c>
      <c r="C29" s="7">
        <f>_xlfn.XLOOKUP(A29,PostalCost_International!G:G,PostalCost_International!M:M,"Not Found")</f>
        <v>46.745325000000001</v>
      </c>
      <c r="D29" s="7">
        <f>_xlfn.XLOOKUP(A29,PostalCost_International!G:G,PostalCost_International!N:N,"Not Found")</f>
        <v>45.328800000000001</v>
      </c>
      <c r="E29" s="5">
        <f>IF(NOT(ISBLANK($A29)),$C29+(($B29+$C29)*USA_Costs!$C$2)+((($B29+$C29)*USA_Costs!$C$2)*USA_Costs!$B$11)+USA_Costs!$B$12,"")</f>
        <v>146.71929650000001</v>
      </c>
      <c r="F29" s="11">
        <f>IF(NOT(ISBLANK($A29)),$D29+(($B29+$D29)*USA_Costs!$C$2)+((($B29+$D29)*USA_Costs!$C$2)*USA_Costs!$B$11)+USA_Costs!$B$12,"")</f>
        <v>144.99113600000001</v>
      </c>
      <c r="G29" s="5">
        <f>IF(NOT(ISBLANK($A29)),$C29+(($B29+$C29)*USA_Costs!$C$3)+((($B29+$C29)*USA_Costs!$C$3)*USA_Costs!$B$11)+USA_Costs!$B$12,"")</f>
        <v>141.80509792499998</v>
      </c>
      <c r="H29" s="11">
        <f>IF(NOT(ISBLANK($A29)),$D29+(($B29+$D29)*USA_Costs!$C$3)+((($B29+$D29)*USA_Costs!$C$3)*USA_Costs!$B$11)+USA_Costs!$B$12,"")</f>
        <v>140.0925192</v>
      </c>
      <c r="I29" s="5">
        <f>IF(NOT(ISBLANK($A29)),$C29+(($B29+$C29)*USA_Costs!$C$9)+((($B29+$C29)*USA_Costs!$C$9)*USA_Costs!$B$11)+USA_Costs!$B$12,"")</f>
        <v>97.577310750000009</v>
      </c>
      <c r="J29" s="11">
        <f>IF(NOT(ISBLANK($A29)),$D29+(($B29+$D29)*USA_Costs!$C$9)+((($B29+$D29)*USA_Costs!$C$9)*USA_Costs!$B$11)+USA_Costs!$B$12,"")</f>
        <v>96.004968000000005</v>
      </c>
    </row>
    <row r="30" spans="1:10" x14ac:dyDescent="0.2">
      <c r="A30" s="6" t="s">
        <v>15</v>
      </c>
      <c r="B30" s="7">
        <v>500</v>
      </c>
      <c r="C30" s="7">
        <f>_xlfn.XLOOKUP(A30,PostalCost_International!G:G,PostalCost_International!M:M,"Not Found")</f>
        <v>46.745325000000001</v>
      </c>
      <c r="D30" s="7">
        <f>_xlfn.XLOOKUP(A30,PostalCost_International!G:G,PostalCost_International!N:N,"Not Found")</f>
        <v>45.328800000000001</v>
      </c>
      <c r="E30" s="5">
        <f>IF(NOT(ISBLANK($A30)),$C30+(($B30+$C30)*USA_Costs!$C$2)+((($B30+$C30)*USA_Costs!$C$2)*USA_Costs!$B$11)+USA_Costs!$B$12,"")</f>
        <v>168.71929650000001</v>
      </c>
      <c r="F30" s="11">
        <f>IF(NOT(ISBLANK($A30)),$D30+(($B30+$D30)*USA_Costs!$C$2)+((($B30+$D30)*USA_Costs!$C$2)*USA_Costs!$B$11)+USA_Costs!$B$12,"")</f>
        <v>166.99113600000001</v>
      </c>
      <c r="G30" s="5">
        <f>IF(NOT(ISBLANK($A30)),$C30+(($B30+$C30)*USA_Costs!$C$3)+((($B30+$C30)*USA_Costs!$C$3)*USA_Costs!$B$11)+USA_Costs!$B$12,"")</f>
        <v>162.70509792499999</v>
      </c>
      <c r="H30" s="11">
        <f>IF(NOT(ISBLANK($A30)),$D30+(($B30+$D30)*USA_Costs!$C$3)+((($B30+$D30)*USA_Costs!$C$3)*USA_Costs!$B$11)+USA_Costs!$B$12,"")</f>
        <v>160.9925192</v>
      </c>
      <c r="I30" s="5">
        <f>IF(NOT(ISBLANK($A30)),$C30+(($B30+$C30)*USA_Costs!$C$9)+((($B30+$C30)*USA_Costs!$C$9)*USA_Costs!$B$11)+USA_Costs!$B$12,"")</f>
        <v>108.57731075000001</v>
      </c>
      <c r="J30" s="11">
        <f>IF(NOT(ISBLANK($A30)),$D30+(($B30+$D30)*USA_Costs!$C$9)+((($B30+$D30)*USA_Costs!$C$9)*USA_Costs!$B$11)+USA_Costs!$B$12,"")</f>
        <v>107.00496800000001</v>
      </c>
    </row>
    <row r="31" spans="1:10" x14ac:dyDescent="0.2">
      <c r="A31" s="6" t="s">
        <v>15</v>
      </c>
      <c r="B31" s="7">
        <v>600</v>
      </c>
      <c r="C31" s="7">
        <f>_xlfn.XLOOKUP(A31,PostalCost_International!G:G,PostalCost_International!M:M,"Not Found")</f>
        <v>46.745325000000001</v>
      </c>
      <c r="D31" s="7">
        <f>_xlfn.XLOOKUP(A31,PostalCost_International!G:G,PostalCost_International!N:N,"Not Found")</f>
        <v>45.328800000000001</v>
      </c>
      <c r="E31" s="5">
        <f>IF(NOT(ISBLANK($A31)),$C31+(($B31+$C31)*USA_Costs!$C$2)+((($B31+$C31)*USA_Costs!$C$2)*USA_Costs!$B$11)+USA_Costs!$B$12,"")</f>
        <v>190.71929650000001</v>
      </c>
      <c r="F31" s="11">
        <f>IF(NOT(ISBLANK($A31)),$D31+(($B31+$D31)*USA_Costs!$C$2)+((($B31+$D31)*USA_Costs!$C$2)*USA_Costs!$B$11)+USA_Costs!$B$12,"")</f>
        <v>188.99113600000001</v>
      </c>
      <c r="G31" s="5">
        <f>IF(NOT(ISBLANK($A31)),$C31+(($B31+$C31)*USA_Costs!$C$3)+((($B31+$C31)*USA_Costs!$C$3)*USA_Costs!$B$11)+USA_Costs!$B$12,"")</f>
        <v>183.605097925</v>
      </c>
      <c r="H31" s="11">
        <f>IF(NOT(ISBLANK($A31)),$D31+(($B31+$D31)*USA_Costs!$C$3)+((($B31+$D31)*USA_Costs!$C$3)*USA_Costs!$B$11)+USA_Costs!$B$12,"")</f>
        <v>181.89251919999998</v>
      </c>
      <c r="I31" s="5">
        <f>IF(NOT(ISBLANK($A31)),$C31+(($B31+$C31)*USA_Costs!$C$9)+((($B31+$C31)*USA_Costs!$C$9)*USA_Costs!$B$11)+USA_Costs!$B$12,"")</f>
        <v>119.57731075000001</v>
      </c>
      <c r="J31" s="11">
        <f>IF(NOT(ISBLANK($A31)),$D31+(($B31+$D31)*USA_Costs!$C$9)+((($B31+$D31)*USA_Costs!$C$9)*USA_Costs!$B$11)+USA_Costs!$B$12,"")</f>
        <v>118.00496800000001</v>
      </c>
    </row>
    <row r="32" spans="1:10" x14ac:dyDescent="0.2">
      <c r="A32" s="6" t="s">
        <v>15</v>
      </c>
      <c r="B32" s="7">
        <v>700</v>
      </c>
      <c r="C32" s="7">
        <f>_xlfn.XLOOKUP(A32,PostalCost_International!G:G,PostalCost_International!M:M,"Not Found")</f>
        <v>46.745325000000001</v>
      </c>
      <c r="D32" s="7">
        <f>_xlfn.XLOOKUP(A32,PostalCost_International!G:G,PostalCost_International!N:N,"Not Found")</f>
        <v>45.328800000000001</v>
      </c>
      <c r="E32" s="5">
        <f>IF(NOT(ISBLANK($A32)),$C32+(($B32+$C32)*USA_Costs!$C$2)+((($B32+$C32)*USA_Costs!$C$2)*USA_Costs!$B$11)+USA_Costs!$B$12,"")</f>
        <v>212.71929650000001</v>
      </c>
      <c r="F32" s="11">
        <f>IF(NOT(ISBLANK($A32)),$D32+(($B32+$D32)*USA_Costs!$C$2)+((($B32+$D32)*USA_Costs!$C$2)*USA_Costs!$B$11)+USA_Costs!$B$12,"")</f>
        <v>210.99113600000001</v>
      </c>
      <c r="G32" s="5">
        <f>IF(NOT(ISBLANK($A32)),$C32+(($B32+$C32)*USA_Costs!$C$3)+((($B32+$C32)*USA_Costs!$C$3)*USA_Costs!$B$11)+USA_Costs!$B$12,"")</f>
        <v>204.505097925</v>
      </c>
      <c r="H32" s="11">
        <f>IF(NOT(ISBLANK($A32)),$D32+(($B32+$D32)*USA_Costs!$C$3)+((($B32+$D32)*USA_Costs!$C$3)*USA_Costs!$B$11)+USA_Costs!$B$12,"")</f>
        <v>202.79251919999999</v>
      </c>
      <c r="I32" s="5">
        <f>IF(NOT(ISBLANK($A32)),$C32+(($B32+$C32)*USA_Costs!$C$9)+((($B32+$C32)*USA_Costs!$C$9)*USA_Costs!$B$11)+USA_Costs!$B$12,"")</f>
        <v>130.57731075000001</v>
      </c>
      <c r="J32" s="11">
        <f>IF(NOT(ISBLANK($A32)),$D32+(($B32+$D32)*USA_Costs!$C$9)+((($B32+$D32)*USA_Costs!$C$9)*USA_Costs!$B$11)+USA_Costs!$B$12,"")</f>
        <v>129.00496800000002</v>
      </c>
    </row>
    <row r="33" spans="1:10" x14ac:dyDescent="0.2">
      <c r="A33" s="6" t="s">
        <v>15</v>
      </c>
      <c r="B33" s="7">
        <v>800</v>
      </c>
      <c r="C33" s="7">
        <f>_xlfn.XLOOKUP(A33,PostalCost_International!G:G,PostalCost_International!M:M,"Not Found")</f>
        <v>46.745325000000001</v>
      </c>
      <c r="D33" s="7">
        <f>_xlfn.XLOOKUP(A33,PostalCost_International!G:G,PostalCost_International!N:N,"Not Found")</f>
        <v>45.328800000000001</v>
      </c>
      <c r="E33" s="5">
        <f>IF(NOT(ISBLANK($A33)),$C33+(($B33+$C33)*USA_Costs!$C$2)+((($B33+$C33)*USA_Costs!$C$2)*USA_Costs!$B$11)+USA_Costs!$B$12,"")</f>
        <v>234.71929650000001</v>
      </c>
      <c r="F33" s="11">
        <f>IF(NOT(ISBLANK($A33)),$D33+(($B33+$D33)*USA_Costs!$C$2)+((($B33+$D33)*USA_Costs!$C$2)*USA_Costs!$B$11)+USA_Costs!$B$12,"")</f>
        <v>232.99113600000001</v>
      </c>
      <c r="G33" s="5">
        <f>IF(NOT(ISBLANK($A33)),$C33+(($B33+$C33)*USA_Costs!$C$3)+((($B33+$C33)*USA_Costs!$C$3)*USA_Costs!$B$11)+USA_Costs!$B$12,"")</f>
        <v>225.40509792500001</v>
      </c>
      <c r="H33" s="11">
        <f>IF(NOT(ISBLANK($A33)),$D33+(($B33+$D33)*USA_Costs!$C$3)+((($B33+$D33)*USA_Costs!$C$3)*USA_Costs!$B$11)+USA_Costs!$B$12,"")</f>
        <v>223.69251919999999</v>
      </c>
      <c r="I33" s="5">
        <f>IF(NOT(ISBLANK($A33)),$C33+(($B33+$C33)*USA_Costs!$C$9)+((($B33+$C33)*USA_Costs!$C$9)*USA_Costs!$B$11)+USA_Costs!$B$12,"")</f>
        <v>141.57731075000001</v>
      </c>
      <c r="J33" s="11">
        <f>IF(NOT(ISBLANK($A33)),$D33+(($B33+$D33)*USA_Costs!$C$9)+((($B33+$D33)*USA_Costs!$C$9)*USA_Costs!$B$11)+USA_Costs!$B$12,"")</f>
        <v>140.00496800000002</v>
      </c>
    </row>
    <row r="34" spans="1:10" x14ac:dyDescent="0.2">
      <c r="A34" s="6" t="s">
        <v>15</v>
      </c>
      <c r="B34" s="7">
        <v>900</v>
      </c>
      <c r="C34" s="7">
        <f>_xlfn.XLOOKUP(A34,PostalCost_International!G:G,PostalCost_International!M:M,"Not Found")</f>
        <v>46.745325000000001</v>
      </c>
      <c r="D34" s="7">
        <f>_xlfn.XLOOKUP(A34,PostalCost_International!G:G,PostalCost_International!N:N,"Not Found")</f>
        <v>45.328800000000001</v>
      </c>
      <c r="E34" s="5">
        <f>IF(NOT(ISBLANK($A34)),$C34+(($B34+$C34)*USA_Costs!$C$2)+((($B34+$C34)*USA_Costs!$C$2)*USA_Costs!$B$11)+USA_Costs!$B$12,"")</f>
        <v>256.71929650000004</v>
      </c>
      <c r="F34" s="11">
        <f>IF(NOT(ISBLANK($A34)),$D34+(($B34+$D34)*USA_Costs!$C$2)+((($B34+$D34)*USA_Costs!$C$2)*USA_Costs!$B$11)+USA_Costs!$B$12,"")</f>
        <v>254.99113600000001</v>
      </c>
      <c r="G34" s="5">
        <f>IF(NOT(ISBLANK($A34)),$C34+(($B34+$C34)*USA_Costs!$C$3)+((($B34+$C34)*USA_Costs!$C$3)*USA_Costs!$B$11)+USA_Costs!$B$12,"")</f>
        <v>246.30509792499998</v>
      </c>
      <c r="H34" s="11">
        <f>IF(NOT(ISBLANK($A34)),$D34+(($B34+$D34)*USA_Costs!$C$3)+((($B34+$D34)*USA_Costs!$C$3)*USA_Costs!$B$11)+USA_Costs!$B$12,"")</f>
        <v>244.5925192</v>
      </c>
      <c r="I34" s="5">
        <f>IF(NOT(ISBLANK($A34)),$C34+(($B34+$C34)*USA_Costs!$C$9)+((($B34+$C34)*USA_Costs!$C$9)*USA_Costs!$B$11)+USA_Costs!$B$12,"")</f>
        <v>152.57731075000001</v>
      </c>
      <c r="J34" s="11">
        <f>IF(NOT(ISBLANK($A34)),$D34+(($B34+$D34)*USA_Costs!$C$9)+((($B34+$D34)*USA_Costs!$C$9)*USA_Costs!$B$11)+USA_Costs!$B$12,"")</f>
        <v>151.00496800000002</v>
      </c>
    </row>
    <row r="35" spans="1:10" x14ac:dyDescent="0.2">
      <c r="A35" s="6" t="s">
        <v>15</v>
      </c>
      <c r="B35" s="7">
        <v>1000</v>
      </c>
      <c r="C35" s="7">
        <f>_xlfn.XLOOKUP(A35,PostalCost_International!G:G,PostalCost_International!M:M,"Not Found")</f>
        <v>46.745325000000001</v>
      </c>
      <c r="D35" s="7">
        <f>_xlfn.XLOOKUP(A35,PostalCost_International!G:G,PostalCost_International!N:N,"Not Found")</f>
        <v>45.328800000000001</v>
      </c>
      <c r="E35" s="5">
        <f>IF(NOT(ISBLANK($A35)),$C35+(($B35+$C35)*USA_Costs!$C$2)+((($B35+$C35)*USA_Costs!$C$2)*USA_Costs!$B$11)+USA_Costs!$B$12,"")</f>
        <v>278.71929650000004</v>
      </c>
      <c r="F35" s="11">
        <f>IF(NOT(ISBLANK($A35)),$D35+(($B35+$D35)*USA_Costs!$C$2)+((($B35+$D35)*USA_Costs!$C$2)*USA_Costs!$B$11)+USA_Costs!$B$12,"")</f>
        <v>276.99113600000004</v>
      </c>
      <c r="G35" s="5">
        <f>IF(NOT(ISBLANK($A35)),$C35+(($B35+$C35)*USA_Costs!$C$3)+((($B35+$C35)*USA_Costs!$C$3)*USA_Costs!$B$11)+USA_Costs!$B$12,"")</f>
        <v>267.20509792500002</v>
      </c>
      <c r="H35" s="11">
        <f>IF(NOT(ISBLANK($A35)),$D35+(($B35+$D35)*USA_Costs!$C$3)+((($B35+$D35)*USA_Costs!$C$3)*USA_Costs!$B$11)+USA_Costs!$B$12,"")</f>
        <v>265.4925192</v>
      </c>
      <c r="I35" s="5">
        <f>IF(NOT(ISBLANK($A35)),$C35+(($B35+$C35)*USA_Costs!$C$9)+((($B35+$C35)*USA_Costs!$C$9)*USA_Costs!$B$11)+USA_Costs!$B$12,"")</f>
        <v>163.57731075000001</v>
      </c>
      <c r="J35" s="11">
        <f>IF(NOT(ISBLANK($A35)),$D35+(($B35+$D35)*USA_Costs!$C$9)+((($B35+$D35)*USA_Costs!$C$9)*USA_Costs!$B$11)+USA_Costs!$B$12,"")</f>
        <v>162.00496800000002</v>
      </c>
    </row>
    <row r="36" spans="1:10" x14ac:dyDescent="0.2">
      <c r="A36" s="6"/>
      <c r="B36" s="7"/>
      <c r="C36" s="7"/>
      <c r="D36" s="7"/>
      <c r="E36" s="5" t="str">
        <f>IF(NOT(ISBLANK($A36)),$C36+(($B36+$C36)*USA_Costs!$C$2)+((($B36+$C36)*USA_Costs!$C$2)*USA_Costs!$B$11)+USA_Costs!$B$12,"")</f>
        <v/>
      </c>
      <c r="F36" s="11" t="str">
        <f>IF(NOT(ISBLANK($A36)),$D36+(($B36+$D36)*USA_Costs!$C$2)+((($B36+$D36)*USA_Costs!$C$2)*USA_Costs!$B$11)+USA_Costs!$B$12,"")</f>
        <v/>
      </c>
      <c r="G36" s="5" t="str">
        <f>IF(NOT(ISBLANK($A36)),$C36+(($B36+$C36)*USA_Costs!$C$3)+((($B36+$C36)*USA_Costs!$C$3)*USA_Costs!$B$11)+USA_Costs!$B$12,"")</f>
        <v/>
      </c>
      <c r="H36" s="11" t="str">
        <f>IF(NOT(ISBLANK($A36)),$D36+(($B36+$D36)*USA_Costs!$C$3)+((($B36+$D36)*USA_Costs!$C$3)*USA_Costs!$B$11)+USA_Costs!$B$12,"")</f>
        <v/>
      </c>
      <c r="I36" s="5" t="str">
        <f>IF(NOT(ISBLANK($A36)),$C36+(($B36+$C36)*USA_Costs!$C$9)+((($B36+$C36)*USA_Costs!$C$9)*USA_Costs!$B$11)+USA_Costs!$B$12,"")</f>
        <v/>
      </c>
      <c r="J36" s="11" t="str">
        <f>IF(NOT(ISBLANK($A36)),$D36+(($B36+$D36)*USA_Costs!$C$9)+((($B36+$D36)*USA_Costs!$C$9)*USA_Costs!$B$11)+USA_Costs!$B$12,"")</f>
        <v/>
      </c>
    </row>
    <row r="37" spans="1:10" x14ac:dyDescent="0.2">
      <c r="A37" s="6" t="s">
        <v>28</v>
      </c>
      <c r="B37" s="7">
        <v>100</v>
      </c>
      <c r="C37" s="7">
        <f>_xlfn.XLOOKUP(A37,PostalCost_International!G:G,PostalCost_International!M:M,"Not Found")</f>
        <v>57.937274999999985</v>
      </c>
      <c r="D37" s="7">
        <f>_xlfn.XLOOKUP(A37,PostalCost_International!G:G,PostalCost_International!N:N,"Not Found")</f>
        <v>56.181599999999996</v>
      </c>
      <c r="E37" s="5">
        <f>IF(NOT(ISBLANK($A37)),$C37+(($B37+$C37)*USA_Costs!$C$2)+((($B37+$C37)*USA_Costs!$C$2)*USA_Costs!$B$11)+USA_Costs!$B$12,"")</f>
        <v>94.373475499999984</v>
      </c>
      <c r="F37" s="11">
        <f>IF(NOT(ISBLANK($A37)),$D37+(($B37+$D37)*USA_Costs!$C$2)+((($B37+$D37)*USA_Costs!$C$2)*USA_Costs!$B$11)+USA_Costs!$B$12,"")</f>
        <v>92.231551999999994</v>
      </c>
      <c r="G37" s="5">
        <f>IF(NOT(ISBLANK($A37)),$C37+(($B37+$C37)*USA_Costs!$C$3)+((($B37+$C37)*USA_Costs!$C$3)*USA_Costs!$B$11)+USA_Costs!$B$12,"")</f>
        <v>92.636165474999984</v>
      </c>
      <c r="H37" s="11">
        <f>IF(NOT(ISBLANK($A37)),$D37+(($B37+$D37)*USA_Costs!$C$3)+((($B37+$D37)*USA_Costs!$C$3)*USA_Costs!$B$11)+USA_Costs!$B$12,"")</f>
        <v>90.513554400000004</v>
      </c>
      <c r="I37" s="5">
        <f>IF(NOT(ISBLANK($A37)),$C37+(($B37+$C37)*USA_Costs!$C$9)+((($B37+$C37)*USA_Costs!$C$9)*USA_Costs!$B$11)+USA_Costs!$B$12,"")</f>
        <v>77.000375249999991</v>
      </c>
      <c r="J37" s="11">
        <f>IF(NOT(ISBLANK($A37)),$D37+(($B37+$D37)*USA_Costs!$C$9)+((($B37+$D37)*USA_Costs!$C$9)*USA_Costs!$B$11)+USA_Costs!$B$12,"")</f>
        <v>75.051575999999983</v>
      </c>
    </row>
    <row r="38" spans="1:10" x14ac:dyDescent="0.2">
      <c r="A38" s="6" t="s">
        <v>28</v>
      </c>
      <c r="B38" s="7">
        <v>200</v>
      </c>
      <c r="C38" s="7">
        <f>_xlfn.XLOOKUP(A38,PostalCost_International!G:G,PostalCost_International!M:M,"Not Found")</f>
        <v>57.937274999999985</v>
      </c>
      <c r="D38" s="7">
        <f>_xlfn.XLOOKUP(A38,PostalCost_International!G:G,PostalCost_International!N:N,"Not Found")</f>
        <v>56.181599999999996</v>
      </c>
      <c r="E38" s="5">
        <f>IF(NOT(ISBLANK($A38)),$C38+(($B38+$C38)*USA_Costs!$C$2)+((($B38+$C38)*USA_Costs!$C$2)*USA_Costs!$B$11)+USA_Costs!$B$12,"")</f>
        <v>116.37347549999998</v>
      </c>
      <c r="F38" s="11">
        <f>IF(NOT(ISBLANK($A38)),$D38+(($B38+$D38)*USA_Costs!$C$2)+((($B38+$D38)*USA_Costs!$C$2)*USA_Costs!$B$11)+USA_Costs!$B$12,"")</f>
        <v>114.23155200000001</v>
      </c>
      <c r="G38" s="5">
        <f>IF(NOT(ISBLANK($A38)),$C38+(($B38+$C38)*USA_Costs!$C$3)+((($B38+$C38)*USA_Costs!$C$3)*USA_Costs!$B$11)+USA_Costs!$B$12,"")</f>
        <v>113.53616547499999</v>
      </c>
      <c r="H38" s="11">
        <f>IF(NOT(ISBLANK($A38)),$D38+(($B38+$D38)*USA_Costs!$C$3)+((($B38+$D38)*USA_Costs!$C$3)*USA_Costs!$B$11)+USA_Costs!$B$12,"")</f>
        <v>111.41355439999998</v>
      </c>
      <c r="I38" s="5">
        <f>IF(NOT(ISBLANK($A38)),$C38+(($B38+$C38)*USA_Costs!$C$9)+((($B38+$C38)*USA_Costs!$C$9)*USA_Costs!$B$11)+USA_Costs!$B$12,"")</f>
        <v>88.000375249999991</v>
      </c>
      <c r="J38" s="11">
        <f>IF(NOT(ISBLANK($A38)),$D38+(($B38+$D38)*USA_Costs!$C$9)+((($B38+$D38)*USA_Costs!$C$9)*USA_Costs!$B$11)+USA_Costs!$B$12,"")</f>
        <v>86.051575999999983</v>
      </c>
    </row>
    <row r="39" spans="1:10" x14ac:dyDescent="0.2">
      <c r="A39" s="6" t="s">
        <v>28</v>
      </c>
      <c r="B39" s="7">
        <v>300</v>
      </c>
      <c r="C39" s="7">
        <f>_xlfn.XLOOKUP(A39,PostalCost_International!G:G,PostalCost_International!M:M,"Not Found")</f>
        <v>57.937274999999985</v>
      </c>
      <c r="D39" s="7">
        <f>_xlfn.XLOOKUP(A39,PostalCost_International!G:G,PostalCost_International!N:N,"Not Found")</f>
        <v>56.181599999999996</v>
      </c>
      <c r="E39" s="5">
        <f>IF(NOT(ISBLANK($A39)),$C39+(($B39+$C39)*USA_Costs!$C$2)+((($B39+$C39)*USA_Costs!$C$2)*USA_Costs!$B$11)+USA_Costs!$B$12,"")</f>
        <v>138.37347549999998</v>
      </c>
      <c r="F39" s="11">
        <f>IF(NOT(ISBLANK($A39)),$D39+(($B39+$D39)*USA_Costs!$C$2)+((($B39+$D39)*USA_Costs!$C$2)*USA_Costs!$B$11)+USA_Costs!$B$12,"")</f>
        <v>136.23155200000002</v>
      </c>
      <c r="G39" s="5">
        <f>IF(NOT(ISBLANK($A39)),$C39+(($B39+$C39)*USA_Costs!$C$3)+((($B39+$C39)*USA_Costs!$C$3)*USA_Costs!$B$11)+USA_Costs!$B$12,"")</f>
        <v>134.436165475</v>
      </c>
      <c r="H39" s="11">
        <f>IF(NOT(ISBLANK($A39)),$D39+(($B39+$D39)*USA_Costs!$C$3)+((($B39+$D39)*USA_Costs!$C$3)*USA_Costs!$B$11)+USA_Costs!$B$12,"")</f>
        <v>132.31355439999999</v>
      </c>
      <c r="I39" s="5">
        <f>IF(NOT(ISBLANK($A39)),$C39+(($B39+$C39)*USA_Costs!$C$9)+((($B39+$C39)*USA_Costs!$C$9)*USA_Costs!$B$11)+USA_Costs!$B$12,"")</f>
        <v>99.000375249999991</v>
      </c>
      <c r="J39" s="11">
        <f>IF(NOT(ISBLANK($A39)),$D39+(($B39+$D39)*USA_Costs!$C$9)+((($B39+$D39)*USA_Costs!$C$9)*USA_Costs!$B$11)+USA_Costs!$B$12,"")</f>
        <v>97.051575999999983</v>
      </c>
    </row>
    <row r="40" spans="1:10" x14ac:dyDescent="0.2">
      <c r="A40" s="6" t="s">
        <v>28</v>
      </c>
      <c r="B40" s="7">
        <v>400</v>
      </c>
      <c r="C40" s="7">
        <f>_xlfn.XLOOKUP(A40,PostalCost_International!G:G,PostalCost_International!M:M,"Not Found")</f>
        <v>57.937274999999985</v>
      </c>
      <c r="D40" s="7">
        <f>_xlfn.XLOOKUP(A40,PostalCost_International!G:G,PostalCost_International!N:N,"Not Found")</f>
        <v>56.181599999999996</v>
      </c>
      <c r="E40" s="5">
        <f>IF(NOT(ISBLANK($A40)),$C40+(($B40+$C40)*USA_Costs!$C$2)+((($B40+$C40)*USA_Costs!$C$2)*USA_Costs!$B$11)+USA_Costs!$B$12,"")</f>
        <v>160.37347549999998</v>
      </c>
      <c r="F40" s="11">
        <f>IF(NOT(ISBLANK($A40)),$D40+(($B40+$D40)*USA_Costs!$C$2)+((($B40+$D40)*USA_Costs!$C$2)*USA_Costs!$B$11)+USA_Costs!$B$12,"")</f>
        <v>158.23155200000002</v>
      </c>
      <c r="G40" s="5">
        <f>IF(NOT(ISBLANK($A40)),$C40+(($B40+$C40)*USA_Costs!$C$3)+((($B40+$C40)*USA_Costs!$C$3)*USA_Costs!$B$11)+USA_Costs!$B$12,"")</f>
        <v>155.33616547499997</v>
      </c>
      <c r="H40" s="11">
        <f>IF(NOT(ISBLANK($A40)),$D40+(($B40+$D40)*USA_Costs!$C$3)+((($B40+$D40)*USA_Costs!$C$3)*USA_Costs!$B$11)+USA_Costs!$B$12,"")</f>
        <v>153.21355439999999</v>
      </c>
      <c r="I40" s="5">
        <f>IF(NOT(ISBLANK($A40)),$C40+(($B40+$C40)*USA_Costs!$C$9)+((($B40+$C40)*USA_Costs!$C$9)*USA_Costs!$B$11)+USA_Costs!$B$12,"")</f>
        <v>110.00037524999999</v>
      </c>
      <c r="J40" s="11">
        <f>IF(NOT(ISBLANK($A40)),$D40+(($B40+$D40)*USA_Costs!$C$9)+((($B40+$D40)*USA_Costs!$C$9)*USA_Costs!$B$11)+USA_Costs!$B$12,"")</f>
        <v>108.05157599999998</v>
      </c>
    </row>
    <row r="41" spans="1:10" x14ac:dyDescent="0.2">
      <c r="A41" s="6" t="s">
        <v>28</v>
      </c>
      <c r="B41" s="7">
        <v>500</v>
      </c>
      <c r="C41" s="7">
        <f>_xlfn.XLOOKUP(A41,PostalCost_International!G:G,PostalCost_International!M:M,"Not Found")</f>
        <v>57.937274999999985</v>
      </c>
      <c r="D41" s="7">
        <f>_xlfn.XLOOKUP(A41,PostalCost_International!G:G,PostalCost_International!N:N,"Not Found")</f>
        <v>56.181599999999996</v>
      </c>
      <c r="E41" s="5">
        <f>IF(NOT(ISBLANK($A41)),$C41+(($B41+$C41)*USA_Costs!$C$2)+((($B41+$C41)*USA_Costs!$C$2)*USA_Costs!$B$11)+USA_Costs!$B$12,"")</f>
        <v>182.37347549999998</v>
      </c>
      <c r="F41" s="11">
        <f>IF(NOT(ISBLANK($A41)),$D41+(($B41+$D41)*USA_Costs!$C$2)+((($B41+$D41)*USA_Costs!$C$2)*USA_Costs!$B$11)+USA_Costs!$B$12,"")</f>
        <v>180.23155200000002</v>
      </c>
      <c r="G41" s="5">
        <f>IF(NOT(ISBLANK($A41)),$C41+(($B41+$C41)*USA_Costs!$C$3)+((($B41+$C41)*USA_Costs!$C$3)*USA_Costs!$B$11)+USA_Costs!$B$12,"")</f>
        <v>176.23616547499998</v>
      </c>
      <c r="H41" s="11">
        <f>IF(NOT(ISBLANK($A41)),$D41+(($B41+$D41)*USA_Costs!$C$3)+((($B41+$D41)*USA_Costs!$C$3)*USA_Costs!$B$11)+USA_Costs!$B$12,"")</f>
        <v>174.1135544</v>
      </c>
      <c r="I41" s="5">
        <f>IF(NOT(ISBLANK($A41)),$C41+(($B41+$C41)*USA_Costs!$C$9)+((($B41+$C41)*USA_Costs!$C$9)*USA_Costs!$B$11)+USA_Costs!$B$12,"")</f>
        <v>121.00037524999999</v>
      </c>
      <c r="J41" s="11">
        <f>IF(NOT(ISBLANK($A41)),$D41+(($B41+$D41)*USA_Costs!$C$9)+((($B41+$D41)*USA_Costs!$C$9)*USA_Costs!$B$11)+USA_Costs!$B$12,"")</f>
        <v>119.05157599999998</v>
      </c>
    </row>
    <row r="42" spans="1:10" x14ac:dyDescent="0.2">
      <c r="A42" s="6" t="s">
        <v>28</v>
      </c>
      <c r="B42" s="7">
        <v>600</v>
      </c>
      <c r="C42" s="7">
        <f>_xlfn.XLOOKUP(A42,PostalCost_International!G:G,PostalCost_International!M:M,"Not Found")</f>
        <v>57.937274999999985</v>
      </c>
      <c r="D42" s="7">
        <f>_xlfn.XLOOKUP(A42,PostalCost_International!G:G,PostalCost_International!N:N,"Not Found")</f>
        <v>56.181599999999996</v>
      </c>
      <c r="E42" s="5">
        <f>IF(NOT(ISBLANK($A42)),$C42+(($B42+$C42)*USA_Costs!$C$2)+((($B42+$C42)*USA_Costs!$C$2)*USA_Costs!$B$11)+USA_Costs!$B$12,"")</f>
        <v>204.37347549999998</v>
      </c>
      <c r="F42" s="11">
        <f>IF(NOT(ISBLANK($A42)),$D42+(($B42+$D42)*USA_Costs!$C$2)+((($B42+$D42)*USA_Costs!$C$2)*USA_Costs!$B$11)+USA_Costs!$B$12,"")</f>
        <v>202.23155200000002</v>
      </c>
      <c r="G42" s="5">
        <f>IF(NOT(ISBLANK($A42)),$C42+(($B42+$C42)*USA_Costs!$C$3)+((($B42+$C42)*USA_Costs!$C$3)*USA_Costs!$B$11)+USA_Costs!$B$12,"")</f>
        <v>197.13616547499998</v>
      </c>
      <c r="H42" s="11">
        <f>IF(NOT(ISBLANK($A42)),$D42+(($B42+$D42)*USA_Costs!$C$3)+((($B42+$D42)*USA_Costs!$C$3)*USA_Costs!$B$11)+USA_Costs!$B$12,"")</f>
        <v>195.01355439999998</v>
      </c>
      <c r="I42" s="5">
        <f>IF(NOT(ISBLANK($A42)),$C42+(($B42+$C42)*USA_Costs!$C$9)+((($B42+$C42)*USA_Costs!$C$9)*USA_Costs!$B$11)+USA_Costs!$B$12,"")</f>
        <v>132.00037524999999</v>
      </c>
      <c r="J42" s="11">
        <f>IF(NOT(ISBLANK($A42)),$D42+(($B42+$D42)*USA_Costs!$C$9)+((($B42+$D42)*USA_Costs!$C$9)*USA_Costs!$B$11)+USA_Costs!$B$12,"")</f>
        <v>130.05157599999998</v>
      </c>
    </row>
    <row r="43" spans="1:10" x14ac:dyDescent="0.2">
      <c r="A43" s="6" t="s">
        <v>28</v>
      </c>
      <c r="B43" s="7">
        <v>700</v>
      </c>
      <c r="C43" s="7">
        <f>_xlfn.XLOOKUP(A43,PostalCost_International!G:G,PostalCost_International!M:M,"Not Found")</f>
        <v>57.937274999999985</v>
      </c>
      <c r="D43" s="7">
        <f>_xlfn.XLOOKUP(A43,PostalCost_International!G:G,PostalCost_International!N:N,"Not Found")</f>
        <v>56.181599999999996</v>
      </c>
      <c r="E43" s="5">
        <f>IF(NOT(ISBLANK($A43)),$C43+(($B43+$C43)*USA_Costs!$C$2)+((($B43+$C43)*USA_Costs!$C$2)*USA_Costs!$B$11)+USA_Costs!$B$12,"")</f>
        <v>226.37347549999998</v>
      </c>
      <c r="F43" s="11">
        <f>IF(NOT(ISBLANK($A43)),$D43+(($B43+$D43)*USA_Costs!$C$2)+((($B43+$D43)*USA_Costs!$C$2)*USA_Costs!$B$11)+USA_Costs!$B$12,"")</f>
        <v>224.23155200000002</v>
      </c>
      <c r="G43" s="5">
        <f>IF(NOT(ISBLANK($A43)),$C43+(($B43+$C43)*USA_Costs!$C$3)+((($B43+$C43)*USA_Costs!$C$3)*USA_Costs!$B$11)+USA_Costs!$B$12,"")</f>
        <v>218.03616547499996</v>
      </c>
      <c r="H43" s="11">
        <f>IF(NOT(ISBLANK($A43)),$D43+(($B43+$D43)*USA_Costs!$C$3)+((($B43+$D43)*USA_Costs!$C$3)*USA_Costs!$B$11)+USA_Costs!$B$12,"")</f>
        <v>215.91355440000001</v>
      </c>
      <c r="I43" s="5">
        <f>IF(NOT(ISBLANK($A43)),$C43+(($B43+$C43)*USA_Costs!$C$9)+((($B43+$C43)*USA_Costs!$C$9)*USA_Costs!$B$11)+USA_Costs!$B$12,"")</f>
        <v>143.00037524999999</v>
      </c>
      <c r="J43" s="11">
        <f>IF(NOT(ISBLANK($A43)),$D43+(($B43+$D43)*USA_Costs!$C$9)+((($B43+$D43)*USA_Costs!$C$9)*USA_Costs!$B$11)+USA_Costs!$B$12,"")</f>
        <v>141.05157599999998</v>
      </c>
    </row>
    <row r="44" spans="1:10" x14ac:dyDescent="0.2">
      <c r="A44" s="6" t="s">
        <v>28</v>
      </c>
      <c r="B44" s="7">
        <v>800</v>
      </c>
      <c r="C44" s="7">
        <f>_xlfn.XLOOKUP(A44,PostalCost_International!G:G,PostalCost_International!M:M,"Not Found")</f>
        <v>57.937274999999985</v>
      </c>
      <c r="D44" s="7">
        <f>_xlfn.XLOOKUP(A44,PostalCost_International!G:G,PostalCost_International!N:N,"Not Found")</f>
        <v>56.181599999999996</v>
      </c>
      <c r="E44" s="5">
        <f>IF(NOT(ISBLANK($A44)),$C44+(($B44+$C44)*USA_Costs!$C$2)+((($B44+$C44)*USA_Costs!$C$2)*USA_Costs!$B$11)+USA_Costs!$B$12,"")</f>
        <v>248.37347549999998</v>
      </c>
      <c r="F44" s="11">
        <f>IF(NOT(ISBLANK($A44)),$D44+(($B44+$D44)*USA_Costs!$C$2)+((($B44+$D44)*USA_Costs!$C$2)*USA_Costs!$B$11)+USA_Costs!$B$12,"")</f>
        <v>246.23155200000002</v>
      </c>
      <c r="G44" s="5">
        <f>IF(NOT(ISBLANK($A44)),$C44+(($B44+$C44)*USA_Costs!$C$3)+((($B44+$C44)*USA_Costs!$C$3)*USA_Costs!$B$11)+USA_Costs!$B$12,"")</f>
        <v>238.93616547499997</v>
      </c>
      <c r="H44" s="11">
        <f>IF(NOT(ISBLANK($A44)),$D44+(($B44+$D44)*USA_Costs!$C$3)+((($B44+$D44)*USA_Costs!$C$3)*USA_Costs!$B$11)+USA_Costs!$B$12,"")</f>
        <v>236.81355440000002</v>
      </c>
      <c r="I44" s="5">
        <f>IF(NOT(ISBLANK($A44)),$C44+(($B44+$C44)*USA_Costs!$C$9)+((($B44+$C44)*USA_Costs!$C$9)*USA_Costs!$B$11)+USA_Costs!$B$12,"")</f>
        <v>154.00037524999999</v>
      </c>
      <c r="J44" s="11">
        <f>IF(NOT(ISBLANK($A44)),$D44+(($B44+$D44)*USA_Costs!$C$9)+((($B44+$D44)*USA_Costs!$C$9)*USA_Costs!$B$11)+USA_Costs!$B$12,"")</f>
        <v>152.05157599999998</v>
      </c>
    </row>
    <row r="45" spans="1:10" x14ac:dyDescent="0.2">
      <c r="A45" s="6" t="s">
        <v>28</v>
      </c>
      <c r="B45" s="7">
        <v>900</v>
      </c>
      <c r="C45" s="7">
        <f>_xlfn.XLOOKUP(A45,PostalCost_International!G:G,PostalCost_International!M:M,"Not Found")</f>
        <v>57.937274999999985</v>
      </c>
      <c r="D45" s="7">
        <f>_xlfn.XLOOKUP(A45,PostalCost_International!G:G,PostalCost_International!N:N,"Not Found")</f>
        <v>56.181599999999996</v>
      </c>
      <c r="E45" s="5">
        <f>IF(NOT(ISBLANK($A45)),$C45+(($B45+$C45)*USA_Costs!$C$2)+((($B45+$C45)*USA_Costs!$C$2)*USA_Costs!$B$11)+USA_Costs!$B$12,"")</f>
        <v>270.37347549999998</v>
      </c>
      <c r="F45" s="11">
        <f>IF(NOT(ISBLANK($A45)),$D45+(($B45+$D45)*USA_Costs!$C$2)+((($B45+$D45)*USA_Costs!$C$2)*USA_Costs!$B$11)+USA_Costs!$B$12,"")</f>
        <v>268.23155200000002</v>
      </c>
      <c r="G45" s="5">
        <f>IF(NOT(ISBLANK($A45)),$C45+(($B45+$C45)*USA_Costs!$C$3)+((($B45+$C45)*USA_Costs!$C$3)*USA_Costs!$B$11)+USA_Costs!$B$12,"")</f>
        <v>259.83616547499997</v>
      </c>
      <c r="H45" s="11">
        <f>IF(NOT(ISBLANK($A45)),$D45+(($B45+$D45)*USA_Costs!$C$3)+((($B45+$D45)*USA_Costs!$C$3)*USA_Costs!$B$11)+USA_Costs!$B$12,"")</f>
        <v>257.71355440000002</v>
      </c>
      <c r="I45" s="5">
        <f>IF(NOT(ISBLANK($A45)),$C45+(($B45+$C45)*USA_Costs!$C$9)+((($B45+$C45)*USA_Costs!$C$9)*USA_Costs!$B$11)+USA_Costs!$B$12,"")</f>
        <v>165.00037524999999</v>
      </c>
      <c r="J45" s="11">
        <f>IF(NOT(ISBLANK($A45)),$D45+(($B45+$D45)*USA_Costs!$C$9)+((($B45+$D45)*USA_Costs!$C$9)*USA_Costs!$B$11)+USA_Costs!$B$12,"")</f>
        <v>163.05157599999998</v>
      </c>
    </row>
    <row r="46" spans="1:10" x14ac:dyDescent="0.2">
      <c r="A46" s="6" t="s">
        <v>28</v>
      </c>
      <c r="B46" s="7">
        <v>1000</v>
      </c>
      <c r="C46" s="7">
        <f>_xlfn.XLOOKUP(A46,PostalCost_International!G:G,PostalCost_International!M:M,"Not Found")</f>
        <v>57.937274999999985</v>
      </c>
      <c r="D46" s="7">
        <f>_xlfn.XLOOKUP(A46,PostalCost_International!G:G,PostalCost_International!N:N,"Not Found")</f>
        <v>56.181599999999996</v>
      </c>
      <c r="E46" s="5">
        <f>IF(NOT(ISBLANK($A46)),$C46+(($B46+$C46)*USA_Costs!$C$2)+((($B46+$C46)*USA_Costs!$C$2)*USA_Costs!$B$11)+USA_Costs!$B$12,"")</f>
        <v>292.37347549999998</v>
      </c>
      <c r="F46" s="11">
        <f>IF(NOT(ISBLANK($A46)),$D46+(($B46+$D46)*USA_Costs!$C$2)+((($B46+$D46)*USA_Costs!$C$2)*USA_Costs!$B$11)+USA_Costs!$B$12,"")</f>
        <v>290.23155199999997</v>
      </c>
      <c r="G46" s="5">
        <f>IF(NOT(ISBLANK($A46)),$C46+(($B46+$C46)*USA_Costs!$C$3)+((($B46+$C46)*USA_Costs!$C$3)*USA_Costs!$B$11)+USA_Costs!$B$12,"")</f>
        <v>280.73616547499995</v>
      </c>
      <c r="H46" s="11">
        <f>IF(NOT(ISBLANK($A46)),$D46+(($B46+$D46)*USA_Costs!$C$3)+((($B46+$D46)*USA_Costs!$C$3)*USA_Costs!$B$11)+USA_Costs!$B$12,"")</f>
        <v>278.61355439999994</v>
      </c>
      <c r="I46" s="5">
        <f>IF(NOT(ISBLANK($A46)),$C46+(($B46+$C46)*USA_Costs!$C$9)+((($B46+$C46)*USA_Costs!$C$9)*USA_Costs!$B$11)+USA_Costs!$B$12,"")</f>
        <v>176.00037524999999</v>
      </c>
      <c r="J46" s="11">
        <f>IF(NOT(ISBLANK($A46)),$D46+(($B46+$D46)*USA_Costs!$C$9)+((($B46+$D46)*USA_Costs!$C$9)*USA_Costs!$B$11)+USA_Costs!$B$12,"")</f>
        <v>174.05157599999998</v>
      </c>
    </row>
    <row r="47" spans="1:10" x14ac:dyDescent="0.2">
      <c r="E47" s="5" t="str">
        <f>IF(NOT(ISBLANK($A47)),$C47+(($B47+$C47)*USA_Costs!$C$2)+((($B47+$C47)*USA_Costs!$C$2)*USA_Costs!$B$11)+USA_Costs!$B$12,"")</f>
        <v/>
      </c>
      <c r="F47" s="11" t="str">
        <f>IF(NOT(ISBLANK($A47)),$D47+(($B47+$D47)*USA_Costs!$C$2)+((($B47+$D47)*USA_Costs!$C$2)*USA_Costs!$B$11)+USA_Costs!$B$12,"")</f>
        <v/>
      </c>
      <c r="G47" s="5" t="str">
        <f>IF(NOT(ISBLANK($A47)),$C47+(($B47+$C47)*USA_Costs!$C$3)+((($B47+$C47)*USA_Costs!$C$3)*USA_Costs!$B$11)+USA_Costs!$B$12,"")</f>
        <v/>
      </c>
      <c r="H47" s="11" t="str">
        <f>IF(NOT(ISBLANK($A47)),$D47+(($B47+$D47)*USA_Costs!$C$3)+((($B47+$D47)*USA_Costs!$C$3)*USA_Costs!$B$11)+USA_Costs!$B$12,"")</f>
        <v/>
      </c>
      <c r="I47" s="5" t="str">
        <f>IF(NOT(ISBLANK($A47)),$C47+(($B47+$C47)*USA_Costs!$C$9)+((($B47+$C47)*USA_Costs!$C$9)*USA_Costs!$B$11)+USA_Costs!$B$12,"")</f>
        <v/>
      </c>
      <c r="J47" s="11" t="str">
        <f>IF(NOT(ISBLANK($A47)),$D47+(($B47+$D47)*USA_Costs!$C$9)+((($B47+$D47)*USA_Costs!$C$9)*USA_Costs!$B$11)+USA_Costs!$B$12,"")</f>
        <v/>
      </c>
    </row>
    <row r="48" spans="1:10" x14ac:dyDescent="0.2">
      <c r="A48" s="6" t="s">
        <v>70</v>
      </c>
      <c r="B48" s="7">
        <v>100</v>
      </c>
      <c r="C48" s="7" t="str">
        <f>_xlfn.XLOOKUP(A48,PostalCost_International!G:G,PostalCost_International!M:M,"Not Found")</f>
        <v>Not Found</v>
      </c>
      <c r="D48" s="7" t="str">
        <f>_xlfn.XLOOKUP(A48,PostalCost_International!G:G,PostalCost_International!N:N,"Not Found")</f>
        <v>Not Found</v>
      </c>
      <c r="E48" s="5" t="e">
        <f>IF(NOT(ISBLANK($A48)),$C48+(($B48+$C48)*USA_Costs!$C$2)+((($B48+$C48)*USA_Costs!$C$2)*USA_Costs!$B$11)+USA_Costs!$B$12,"")</f>
        <v>#VALUE!</v>
      </c>
      <c r="F48" s="11" t="e">
        <f>IF(NOT(ISBLANK($A48)),$D48+(($B48+$D48)*USA_Costs!$C$2)+((($B48+$D48)*USA_Costs!$C$2)*USA_Costs!$B$11)+USA_Costs!$B$12,"")</f>
        <v>#VALUE!</v>
      </c>
      <c r="G48" s="5" t="e">
        <f>IF(NOT(ISBLANK($A48)),$C48+(($B48+$C48)*USA_Costs!$C$3)+((($B48+$C48)*USA_Costs!$C$3)*USA_Costs!$B$11)+USA_Costs!$B$12,"")</f>
        <v>#VALUE!</v>
      </c>
      <c r="H48" s="11" t="e">
        <f>IF(NOT(ISBLANK($A48)),$D48+(($B48+$D48)*USA_Costs!$C$3)+((($B48+$D48)*USA_Costs!$C$3)*USA_Costs!$B$11)+USA_Costs!$B$12,"")</f>
        <v>#VALUE!</v>
      </c>
      <c r="I48" s="5" t="e">
        <f>IF(NOT(ISBLANK($A48)),$C48+(($B48+$C48)*USA_Costs!$C$9)+((($B48+$C48)*USA_Costs!$C$9)*USA_Costs!$B$11)+USA_Costs!$B$12,"")</f>
        <v>#VALUE!</v>
      </c>
      <c r="J48" s="11" t="e">
        <f>IF(NOT(ISBLANK($A48)),$D48+(($B48+$D48)*USA_Costs!$C$9)+((($B48+$D48)*USA_Costs!$C$9)*USA_Costs!$B$11)+USA_Costs!$B$12,"")</f>
        <v>#VALUE!</v>
      </c>
    </row>
    <row r="49" spans="1:10" x14ac:dyDescent="0.2">
      <c r="A49" s="6" t="s">
        <v>70</v>
      </c>
      <c r="B49" s="7">
        <v>200</v>
      </c>
      <c r="C49" s="7" t="str">
        <f>_xlfn.XLOOKUP(A49,PostalCost_International!G:G,PostalCost_International!M:M,"Not Found")</f>
        <v>Not Found</v>
      </c>
      <c r="D49" s="7" t="str">
        <f>_xlfn.XLOOKUP(A49,PostalCost_International!G:G,PostalCost_International!N:N,"Not Found")</f>
        <v>Not Found</v>
      </c>
      <c r="E49" s="5" t="e">
        <f>IF(NOT(ISBLANK($A49)),$C49+(($B49+$C49)*USA_Costs!$C$2)+((($B49+$C49)*USA_Costs!$C$2)*USA_Costs!$B$11)+USA_Costs!$B$12,"")</f>
        <v>#VALUE!</v>
      </c>
      <c r="F49" s="11" t="e">
        <f>IF(NOT(ISBLANK($A49)),$D49+(($B49+$D49)*USA_Costs!$C$2)+((($B49+$D49)*USA_Costs!$C$2)*USA_Costs!$B$11)+USA_Costs!$B$12,"")</f>
        <v>#VALUE!</v>
      </c>
      <c r="G49" s="5" t="e">
        <f>IF(NOT(ISBLANK($A49)),$C49+(($B49+$C49)*USA_Costs!$C$3)+((($B49+$C49)*USA_Costs!$C$3)*USA_Costs!$B$11)+USA_Costs!$B$12,"")</f>
        <v>#VALUE!</v>
      </c>
      <c r="H49" s="11" t="e">
        <f>IF(NOT(ISBLANK($A49)),$D49+(($B49+$D49)*USA_Costs!$C$3)+((($B49+$D49)*USA_Costs!$C$3)*USA_Costs!$B$11)+USA_Costs!$B$12,"")</f>
        <v>#VALUE!</v>
      </c>
      <c r="I49" s="5" t="e">
        <f>IF(NOT(ISBLANK($A49)),$C49+(($B49+$C49)*USA_Costs!$C$9)+((($B49+$C49)*USA_Costs!$C$9)*USA_Costs!$B$11)+USA_Costs!$B$12,"")</f>
        <v>#VALUE!</v>
      </c>
      <c r="J49" s="11" t="e">
        <f>IF(NOT(ISBLANK($A49)),$D49+(($B49+$D49)*USA_Costs!$C$9)+((($B49+$D49)*USA_Costs!$C$9)*USA_Costs!$B$11)+USA_Costs!$B$12,"")</f>
        <v>#VALUE!</v>
      </c>
    </row>
    <row r="50" spans="1:10" x14ac:dyDescent="0.2">
      <c r="A50" s="6" t="s">
        <v>70</v>
      </c>
      <c r="B50" s="7">
        <v>300</v>
      </c>
      <c r="C50" s="7" t="str">
        <f>_xlfn.XLOOKUP(A50,PostalCost_International!G:G,PostalCost_International!M:M,"Not Found")</f>
        <v>Not Found</v>
      </c>
      <c r="D50" s="7" t="str">
        <f>_xlfn.XLOOKUP(A50,PostalCost_International!G:G,PostalCost_International!N:N,"Not Found")</f>
        <v>Not Found</v>
      </c>
      <c r="E50" s="5" t="e">
        <f>IF(NOT(ISBLANK($A50)),$C50+(($B50+$C50)*USA_Costs!$C$2)+((($B50+$C50)*USA_Costs!$C$2)*USA_Costs!$B$11)+USA_Costs!$B$12,"")</f>
        <v>#VALUE!</v>
      </c>
      <c r="F50" s="11" t="e">
        <f>IF(NOT(ISBLANK($A50)),$D50+(($B50+$D50)*USA_Costs!$C$2)+((($B50+$D50)*USA_Costs!$C$2)*USA_Costs!$B$11)+USA_Costs!$B$12,"")</f>
        <v>#VALUE!</v>
      </c>
      <c r="G50" s="5" t="e">
        <f>IF(NOT(ISBLANK($A50)),$C50+(($B50+$C50)*USA_Costs!$C$3)+((($B50+$C50)*USA_Costs!$C$3)*USA_Costs!$B$11)+USA_Costs!$B$12,"")</f>
        <v>#VALUE!</v>
      </c>
      <c r="H50" s="11" t="e">
        <f>IF(NOT(ISBLANK($A50)),$D50+(($B50+$D50)*USA_Costs!$C$3)+((($B50+$D50)*USA_Costs!$C$3)*USA_Costs!$B$11)+USA_Costs!$B$12,"")</f>
        <v>#VALUE!</v>
      </c>
      <c r="I50" s="5" t="e">
        <f>IF(NOT(ISBLANK($A50)),$C50+(($B50+$C50)*USA_Costs!$C$9)+((($B50+$C50)*USA_Costs!$C$9)*USA_Costs!$B$11)+USA_Costs!$B$12,"")</f>
        <v>#VALUE!</v>
      </c>
      <c r="J50" s="11" t="e">
        <f>IF(NOT(ISBLANK($A50)),$D50+(($B50+$D50)*USA_Costs!$C$9)+((($B50+$D50)*USA_Costs!$C$9)*USA_Costs!$B$11)+USA_Costs!$B$12,"")</f>
        <v>#VALUE!</v>
      </c>
    </row>
    <row r="51" spans="1:10" x14ac:dyDescent="0.2">
      <c r="A51" s="6" t="s">
        <v>70</v>
      </c>
      <c r="B51" s="7">
        <v>400</v>
      </c>
      <c r="C51" s="7" t="str">
        <f>_xlfn.XLOOKUP(A51,PostalCost_International!G:G,PostalCost_International!M:M,"Not Found")</f>
        <v>Not Found</v>
      </c>
      <c r="D51" s="7" t="str">
        <f>_xlfn.XLOOKUP(A51,PostalCost_International!G:G,PostalCost_International!N:N,"Not Found")</f>
        <v>Not Found</v>
      </c>
      <c r="E51" s="5" t="e">
        <f>IF(NOT(ISBLANK($A51)),$C51+(($B51+$C51)*USA_Costs!$C$2)+((($B51+$C51)*USA_Costs!$C$2)*USA_Costs!$B$11)+USA_Costs!$B$12,"")</f>
        <v>#VALUE!</v>
      </c>
      <c r="F51" s="11" t="e">
        <f>IF(NOT(ISBLANK($A51)),$D51+(($B51+$D51)*USA_Costs!$C$2)+((($B51+$D51)*USA_Costs!$C$2)*USA_Costs!$B$11)+USA_Costs!$B$12,"")</f>
        <v>#VALUE!</v>
      </c>
      <c r="G51" s="5" t="e">
        <f>IF(NOT(ISBLANK($A51)),$C51+(($B51+$C51)*USA_Costs!$C$3)+((($B51+$C51)*USA_Costs!$C$3)*USA_Costs!$B$11)+USA_Costs!$B$12,"")</f>
        <v>#VALUE!</v>
      </c>
      <c r="H51" s="11" t="e">
        <f>IF(NOT(ISBLANK($A51)),$D51+(($B51+$D51)*USA_Costs!$C$3)+((($B51+$D51)*USA_Costs!$C$3)*USA_Costs!$B$11)+USA_Costs!$B$12,"")</f>
        <v>#VALUE!</v>
      </c>
      <c r="I51" s="5" t="e">
        <f>IF(NOT(ISBLANK($A51)),$C51+(($B51+$C51)*USA_Costs!$C$9)+((($B51+$C51)*USA_Costs!$C$9)*USA_Costs!$B$11)+USA_Costs!$B$12,"")</f>
        <v>#VALUE!</v>
      </c>
      <c r="J51" s="11" t="e">
        <f>IF(NOT(ISBLANK($A51)),$D51+(($B51+$D51)*USA_Costs!$C$9)+((($B51+$D51)*USA_Costs!$C$9)*USA_Costs!$B$11)+USA_Costs!$B$12,"")</f>
        <v>#VALUE!</v>
      </c>
    </row>
    <row r="52" spans="1:10" x14ac:dyDescent="0.2">
      <c r="A52" s="6" t="s">
        <v>70</v>
      </c>
      <c r="B52" s="7">
        <v>500</v>
      </c>
      <c r="C52" s="7" t="str">
        <f>_xlfn.XLOOKUP(A52,PostalCost_International!G:G,PostalCost_International!M:M,"Not Found")</f>
        <v>Not Found</v>
      </c>
      <c r="D52" s="7" t="str">
        <f>_xlfn.XLOOKUP(A52,PostalCost_International!G:G,PostalCost_International!N:N,"Not Found")</f>
        <v>Not Found</v>
      </c>
      <c r="E52" s="5" t="e">
        <f>IF(NOT(ISBLANK($A52)),$C52+(($B52+$C52)*USA_Costs!$C$2)+((($B52+$C52)*USA_Costs!$C$2)*USA_Costs!$B$11)+USA_Costs!$B$12,"")</f>
        <v>#VALUE!</v>
      </c>
      <c r="F52" s="11" t="e">
        <f>IF(NOT(ISBLANK($A52)),$D52+(($B52+$D52)*USA_Costs!$C$2)+((($B52+$D52)*USA_Costs!$C$2)*USA_Costs!$B$11)+USA_Costs!$B$12,"")</f>
        <v>#VALUE!</v>
      </c>
      <c r="G52" s="5" t="e">
        <f>IF(NOT(ISBLANK($A52)),$C52+(($B52+$C52)*USA_Costs!$C$3)+((($B52+$C52)*USA_Costs!$C$3)*USA_Costs!$B$11)+USA_Costs!$B$12,"")</f>
        <v>#VALUE!</v>
      </c>
      <c r="H52" s="11" t="e">
        <f>IF(NOT(ISBLANK($A52)),$D52+(($B52+$D52)*USA_Costs!$C$3)+((($B52+$D52)*USA_Costs!$C$3)*USA_Costs!$B$11)+USA_Costs!$B$12,"")</f>
        <v>#VALUE!</v>
      </c>
      <c r="I52" s="5" t="e">
        <f>IF(NOT(ISBLANK($A52)),$C52+(($B52+$C52)*USA_Costs!$C$9)+((($B52+$C52)*USA_Costs!$C$9)*USA_Costs!$B$11)+USA_Costs!$B$12,"")</f>
        <v>#VALUE!</v>
      </c>
      <c r="J52" s="11" t="e">
        <f>IF(NOT(ISBLANK($A52)),$D52+(($B52+$D52)*USA_Costs!$C$9)+((($B52+$D52)*USA_Costs!$C$9)*USA_Costs!$B$11)+USA_Costs!$B$12,"")</f>
        <v>#VALUE!</v>
      </c>
    </row>
    <row r="53" spans="1:10" x14ac:dyDescent="0.2">
      <c r="A53" s="6" t="s">
        <v>70</v>
      </c>
      <c r="B53" s="7">
        <v>600</v>
      </c>
      <c r="C53" s="7" t="str">
        <f>_xlfn.XLOOKUP(A53,PostalCost_International!G:G,PostalCost_International!M:M,"Not Found")</f>
        <v>Not Found</v>
      </c>
      <c r="D53" s="7" t="str">
        <f>_xlfn.XLOOKUP(A53,PostalCost_International!G:G,PostalCost_International!N:N,"Not Found")</f>
        <v>Not Found</v>
      </c>
      <c r="E53" s="5" t="e">
        <f>IF(NOT(ISBLANK($A53)),$C53+(($B53+$C53)*USA_Costs!$C$2)+((($B53+$C53)*USA_Costs!$C$2)*USA_Costs!$B$11)+USA_Costs!$B$12,"")</f>
        <v>#VALUE!</v>
      </c>
      <c r="F53" s="11" t="e">
        <f>IF(NOT(ISBLANK($A53)),$D53+(($B53+$D53)*USA_Costs!$C$2)+((($B53+$D53)*USA_Costs!$C$2)*USA_Costs!$B$11)+USA_Costs!$B$12,"")</f>
        <v>#VALUE!</v>
      </c>
      <c r="G53" s="5" t="e">
        <f>IF(NOT(ISBLANK($A53)),$C53+(($B53+$C53)*USA_Costs!$C$3)+((($B53+$C53)*USA_Costs!$C$3)*USA_Costs!$B$11)+USA_Costs!$B$12,"")</f>
        <v>#VALUE!</v>
      </c>
      <c r="H53" s="11" t="e">
        <f>IF(NOT(ISBLANK($A53)),$D53+(($B53+$D53)*USA_Costs!$C$3)+((($B53+$D53)*USA_Costs!$C$3)*USA_Costs!$B$11)+USA_Costs!$B$12,"")</f>
        <v>#VALUE!</v>
      </c>
      <c r="I53" s="5" t="e">
        <f>IF(NOT(ISBLANK($A53)),$C53+(($B53+$C53)*USA_Costs!$C$9)+((($B53+$C53)*USA_Costs!$C$9)*USA_Costs!$B$11)+USA_Costs!$B$12,"")</f>
        <v>#VALUE!</v>
      </c>
      <c r="J53" s="11" t="e">
        <f>IF(NOT(ISBLANK($A53)),$D53+(($B53+$D53)*USA_Costs!$C$9)+((($B53+$D53)*USA_Costs!$C$9)*USA_Costs!$B$11)+USA_Costs!$B$12,"")</f>
        <v>#VALUE!</v>
      </c>
    </row>
    <row r="54" spans="1:10" x14ac:dyDescent="0.2">
      <c r="A54" s="6" t="s">
        <v>70</v>
      </c>
      <c r="B54" s="7">
        <v>700</v>
      </c>
      <c r="C54" s="7" t="str">
        <f>_xlfn.XLOOKUP(A54,PostalCost_International!G:G,PostalCost_International!M:M,"Not Found")</f>
        <v>Not Found</v>
      </c>
      <c r="D54" s="7" t="str">
        <f>_xlfn.XLOOKUP(A54,PostalCost_International!G:G,PostalCost_International!N:N,"Not Found")</f>
        <v>Not Found</v>
      </c>
      <c r="E54" s="5" t="e">
        <f>IF(NOT(ISBLANK($A54)),$C54+(($B54+$C54)*USA_Costs!$C$2)+((($B54+$C54)*USA_Costs!$C$2)*USA_Costs!$B$11)+USA_Costs!$B$12,"")</f>
        <v>#VALUE!</v>
      </c>
      <c r="F54" s="11" t="e">
        <f>IF(NOT(ISBLANK($A54)),$D54+(($B54+$D54)*USA_Costs!$C$2)+((($B54+$D54)*USA_Costs!$C$2)*USA_Costs!$B$11)+USA_Costs!$B$12,"")</f>
        <v>#VALUE!</v>
      </c>
      <c r="G54" s="5" t="e">
        <f>IF(NOT(ISBLANK($A54)),$C54+(($B54+$C54)*USA_Costs!$C$3)+((($B54+$C54)*USA_Costs!$C$3)*USA_Costs!$B$11)+USA_Costs!$B$12,"")</f>
        <v>#VALUE!</v>
      </c>
      <c r="H54" s="11" t="e">
        <f>IF(NOT(ISBLANK($A54)),$D54+(($B54+$D54)*USA_Costs!$C$3)+((($B54+$D54)*USA_Costs!$C$3)*USA_Costs!$B$11)+USA_Costs!$B$12,"")</f>
        <v>#VALUE!</v>
      </c>
      <c r="I54" s="5" t="e">
        <f>IF(NOT(ISBLANK($A54)),$C54+(($B54+$C54)*USA_Costs!$C$9)+((($B54+$C54)*USA_Costs!$C$9)*USA_Costs!$B$11)+USA_Costs!$B$12,"")</f>
        <v>#VALUE!</v>
      </c>
      <c r="J54" s="11" t="e">
        <f>IF(NOT(ISBLANK($A54)),$D54+(($B54+$D54)*USA_Costs!$C$9)+((($B54+$D54)*USA_Costs!$C$9)*USA_Costs!$B$11)+USA_Costs!$B$12,"")</f>
        <v>#VALUE!</v>
      </c>
    </row>
    <row r="55" spans="1:10" x14ac:dyDescent="0.2">
      <c r="A55" s="6" t="s">
        <v>70</v>
      </c>
      <c r="B55" s="7">
        <v>800</v>
      </c>
      <c r="C55" s="7" t="str">
        <f>_xlfn.XLOOKUP(A55,PostalCost_International!G:G,PostalCost_International!M:M,"Not Found")</f>
        <v>Not Found</v>
      </c>
      <c r="D55" s="7" t="str">
        <f>_xlfn.XLOOKUP(A55,PostalCost_International!G:G,PostalCost_International!N:N,"Not Found")</f>
        <v>Not Found</v>
      </c>
      <c r="E55" s="5" t="e">
        <f>IF(NOT(ISBLANK($A55)),$C55+(($B55+$C55)*USA_Costs!$C$2)+((($B55+$C55)*USA_Costs!$C$2)*USA_Costs!$B$11)+USA_Costs!$B$12,"")</f>
        <v>#VALUE!</v>
      </c>
      <c r="F55" s="11" t="e">
        <f>IF(NOT(ISBLANK($A55)),$D55+(($B55+$D55)*USA_Costs!$C$2)+((($B55+$D55)*USA_Costs!$C$2)*USA_Costs!$B$11)+USA_Costs!$B$12,"")</f>
        <v>#VALUE!</v>
      </c>
      <c r="G55" s="5" t="e">
        <f>IF(NOT(ISBLANK($A55)),$C55+(($B55+$C55)*USA_Costs!$C$3)+((($B55+$C55)*USA_Costs!$C$3)*USA_Costs!$B$11)+USA_Costs!$B$12,"")</f>
        <v>#VALUE!</v>
      </c>
      <c r="H55" s="11" t="e">
        <f>IF(NOT(ISBLANK($A55)),$D55+(($B55+$D55)*USA_Costs!$C$3)+((($B55+$D55)*USA_Costs!$C$3)*USA_Costs!$B$11)+USA_Costs!$B$12,"")</f>
        <v>#VALUE!</v>
      </c>
      <c r="I55" s="5" t="e">
        <f>IF(NOT(ISBLANK($A55)),$C55+(($B55+$C55)*USA_Costs!$C$9)+((($B55+$C55)*USA_Costs!$C$9)*USA_Costs!$B$11)+USA_Costs!$B$12,"")</f>
        <v>#VALUE!</v>
      </c>
      <c r="J55" s="11" t="e">
        <f>IF(NOT(ISBLANK($A55)),$D55+(($B55+$D55)*USA_Costs!$C$9)+((($B55+$D55)*USA_Costs!$C$9)*USA_Costs!$B$11)+USA_Costs!$B$12,"")</f>
        <v>#VALUE!</v>
      </c>
    </row>
    <row r="56" spans="1:10" x14ac:dyDescent="0.2">
      <c r="A56" s="6" t="s">
        <v>70</v>
      </c>
      <c r="B56" s="7">
        <v>900</v>
      </c>
      <c r="C56" s="7" t="str">
        <f>_xlfn.XLOOKUP(A56,PostalCost_International!G:G,PostalCost_International!M:M,"Not Found")</f>
        <v>Not Found</v>
      </c>
      <c r="D56" s="7" t="str">
        <f>_xlfn.XLOOKUP(A56,PostalCost_International!G:G,PostalCost_International!N:N,"Not Found")</f>
        <v>Not Found</v>
      </c>
      <c r="E56" s="5" t="e">
        <f>IF(NOT(ISBLANK($A56)),$C56+(($B56+$C56)*USA_Costs!$C$2)+((($B56+$C56)*USA_Costs!$C$2)*USA_Costs!$B$11)+USA_Costs!$B$12,"")</f>
        <v>#VALUE!</v>
      </c>
      <c r="F56" s="11" t="e">
        <f>IF(NOT(ISBLANK($A56)),$D56+(($B56+$D56)*USA_Costs!$C$2)+((($B56+$D56)*USA_Costs!$C$2)*USA_Costs!$B$11)+USA_Costs!$B$12,"")</f>
        <v>#VALUE!</v>
      </c>
      <c r="G56" s="5" t="e">
        <f>IF(NOT(ISBLANK($A56)),$C56+(($B56+$C56)*USA_Costs!$C$3)+((($B56+$C56)*USA_Costs!$C$3)*USA_Costs!$B$11)+USA_Costs!$B$12,"")</f>
        <v>#VALUE!</v>
      </c>
      <c r="H56" s="11" t="e">
        <f>IF(NOT(ISBLANK($A56)),$D56+(($B56+$D56)*USA_Costs!$C$3)+((($B56+$D56)*USA_Costs!$C$3)*USA_Costs!$B$11)+USA_Costs!$B$12,"")</f>
        <v>#VALUE!</v>
      </c>
      <c r="I56" s="5" t="e">
        <f>IF(NOT(ISBLANK($A56)),$C56+(($B56+$C56)*USA_Costs!$C$9)+((($B56+$C56)*USA_Costs!$C$9)*USA_Costs!$B$11)+USA_Costs!$B$12,"")</f>
        <v>#VALUE!</v>
      </c>
      <c r="J56" s="11" t="e">
        <f>IF(NOT(ISBLANK($A56)),$D56+(($B56+$D56)*USA_Costs!$C$9)+((($B56+$D56)*USA_Costs!$C$9)*USA_Costs!$B$11)+USA_Costs!$B$12,"")</f>
        <v>#VALUE!</v>
      </c>
    </row>
    <row r="57" spans="1:10" x14ac:dyDescent="0.2">
      <c r="A57" s="6" t="s">
        <v>70</v>
      </c>
      <c r="B57" s="7">
        <v>1000</v>
      </c>
      <c r="C57" s="7" t="str">
        <f>_xlfn.XLOOKUP(A57,PostalCost_International!G:G,PostalCost_International!M:M,"Not Found")</f>
        <v>Not Found</v>
      </c>
      <c r="D57" s="7" t="str">
        <f>_xlfn.XLOOKUP(A57,PostalCost_International!G:G,PostalCost_International!N:N,"Not Found")</f>
        <v>Not Found</v>
      </c>
      <c r="E57" s="5" t="e">
        <f>IF(NOT(ISBLANK($A57)),$C57+(($B57+$C57)*USA_Costs!$C$2)+((($B57+$C57)*USA_Costs!$C$2)*USA_Costs!$B$11)+USA_Costs!$B$12,"")</f>
        <v>#VALUE!</v>
      </c>
      <c r="F57" s="11" t="e">
        <f>IF(NOT(ISBLANK($A57)),$D57+(($B57+$D57)*USA_Costs!$C$2)+((($B57+$D57)*USA_Costs!$C$2)*USA_Costs!$B$11)+USA_Costs!$B$12,"")</f>
        <v>#VALUE!</v>
      </c>
      <c r="G57" s="5" t="e">
        <f>IF(NOT(ISBLANK($A57)),$C57+(($B57+$C57)*USA_Costs!$C$3)+((($B57+$C57)*USA_Costs!$C$3)*USA_Costs!$B$11)+USA_Costs!$B$12,"")</f>
        <v>#VALUE!</v>
      </c>
      <c r="H57" s="11" t="e">
        <f>IF(NOT(ISBLANK($A57)),$D57+(($B57+$D57)*USA_Costs!$C$3)+((($B57+$D57)*USA_Costs!$C$3)*USA_Costs!$B$11)+USA_Costs!$B$12,"")</f>
        <v>#VALUE!</v>
      </c>
      <c r="I57" s="5" t="e">
        <f>IF(NOT(ISBLANK($A57)),$C57+(($B57+$C57)*USA_Costs!$C$9)+((($B57+$C57)*USA_Costs!$C$9)*USA_Costs!$B$11)+USA_Costs!$B$12,"")</f>
        <v>#VALUE!</v>
      </c>
      <c r="J57" s="11" t="e">
        <f>IF(NOT(ISBLANK($A57)),$D57+(($B57+$D57)*USA_Costs!$C$9)+((($B57+$D57)*USA_Costs!$C$9)*USA_Costs!$B$11)+USA_Costs!$B$12,"")</f>
        <v>#VALUE!</v>
      </c>
    </row>
  </sheetData>
  <mergeCells count="6">
    <mergeCell ref="E2:F2"/>
    <mergeCell ref="G2:H2"/>
    <mergeCell ref="C2:D2"/>
    <mergeCell ref="I2:J2"/>
    <mergeCell ref="E1:J1"/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F867-CBF9-F647-BD4B-1146BB8BAFD3}">
  <sheetPr>
    <tabColor theme="9" tint="0.39997558519241921"/>
  </sheetPr>
  <dimension ref="B2:G19"/>
  <sheetViews>
    <sheetView zoomScale="185" workbookViewId="0">
      <selection activeCell="C8" sqref="C8"/>
    </sheetView>
  </sheetViews>
  <sheetFormatPr baseColWidth="10" defaultRowHeight="16" x14ac:dyDescent="0.2"/>
  <cols>
    <col min="2" max="2" width="16.5" customWidth="1"/>
    <col min="3" max="3" width="15" customWidth="1"/>
  </cols>
  <sheetData>
    <row r="2" spans="2:7" ht="58" customHeight="1" x14ac:dyDescent="0.2">
      <c r="B2" s="22" t="s">
        <v>72</v>
      </c>
      <c r="C2" s="21" t="s">
        <v>2</v>
      </c>
      <c r="D2" s="21" t="s">
        <v>3</v>
      </c>
      <c r="E2" s="21" t="s">
        <v>4</v>
      </c>
      <c r="F2" s="21" t="s">
        <v>5</v>
      </c>
      <c r="G2" s="21" t="s">
        <v>6</v>
      </c>
    </row>
    <row r="3" spans="2:7" x14ac:dyDescent="0.2">
      <c r="B3" s="30">
        <v>4</v>
      </c>
      <c r="C3" s="29">
        <v>0.4</v>
      </c>
      <c r="D3" s="29">
        <v>0.4</v>
      </c>
      <c r="E3" s="29">
        <v>0.4</v>
      </c>
      <c r="F3" s="29">
        <v>0.4</v>
      </c>
      <c r="G3" s="29">
        <v>0.4</v>
      </c>
    </row>
    <row r="7" spans="2:7" x14ac:dyDescent="0.2">
      <c r="B7" s="32" t="s">
        <v>74</v>
      </c>
      <c r="C7" s="32" t="s">
        <v>73</v>
      </c>
      <c r="D7" s="32"/>
      <c r="E7" s="32"/>
      <c r="F7" s="32"/>
      <c r="G7" s="32"/>
    </row>
    <row r="8" spans="2:7" x14ac:dyDescent="0.2">
      <c r="B8" s="6">
        <v>100</v>
      </c>
      <c r="C8" s="31">
        <f>($B8-100)/100*$B$3*(1-C$3)</f>
        <v>0</v>
      </c>
      <c r="D8" s="31">
        <f t="shared" ref="D8:G8" si="0">($B8-100)/100*$B$3*(1-D$3)</f>
        <v>0</v>
      </c>
      <c r="E8" s="31">
        <f t="shared" si="0"/>
        <v>0</v>
      </c>
      <c r="F8" s="31">
        <f t="shared" si="0"/>
        <v>0</v>
      </c>
      <c r="G8" s="31">
        <f t="shared" si="0"/>
        <v>0</v>
      </c>
    </row>
    <row r="9" spans="2:7" x14ac:dyDescent="0.2">
      <c r="B9" s="6">
        <v>200</v>
      </c>
      <c r="C9" s="31">
        <f t="shared" ref="C9:G19" si="1">($B9-100)/100*$B$3*(1-C$3)</f>
        <v>2.4</v>
      </c>
      <c r="D9" s="31">
        <f t="shared" si="1"/>
        <v>2.4</v>
      </c>
      <c r="E9" s="31">
        <f t="shared" si="1"/>
        <v>2.4</v>
      </c>
      <c r="F9" s="31">
        <f t="shared" si="1"/>
        <v>2.4</v>
      </c>
      <c r="G9" s="31">
        <f t="shared" si="1"/>
        <v>2.4</v>
      </c>
    </row>
    <row r="10" spans="2:7" x14ac:dyDescent="0.2">
      <c r="B10" s="6">
        <v>300</v>
      </c>
      <c r="C10" s="31">
        <f t="shared" si="1"/>
        <v>4.8</v>
      </c>
      <c r="D10" s="31">
        <f t="shared" si="1"/>
        <v>4.8</v>
      </c>
      <c r="E10" s="31">
        <f t="shared" si="1"/>
        <v>4.8</v>
      </c>
      <c r="F10" s="31">
        <f t="shared" si="1"/>
        <v>4.8</v>
      </c>
      <c r="G10" s="31">
        <f t="shared" si="1"/>
        <v>4.8</v>
      </c>
    </row>
    <row r="11" spans="2:7" x14ac:dyDescent="0.2">
      <c r="B11" s="6">
        <v>400</v>
      </c>
      <c r="C11" s="31">
        <f t="shared" si="1"/>
        <v>7.1999999999999993</v>
      </c>
      <c r="D11" s="31">
        <f t="shared" si="1"/>
        <v>7.1999999999999993</v>
      </c>
      <c r="E11" s="31">
        <f t="shared" si="1"/>
        <v>7.1999999999999993</v>
      </c>
      <c r="F11" s="31">
        <f t="shared" si="1"/>
        <v>7.1999999999999993</v>
      </c>
      <c r="G11" s="31">
        <f t="shared" si="1"/>
        <v>7.1999999999999993</v>
      </c>
    </row>
    <row r="12" spans="2:7" x14ac:dyDescent="0.2">
      <c r="B12" s="6">
        <v>500</v>
      </c>
      <c r="C12" s="31">
        <f t="shared" si="1"/>
        <v>9.6</v>
      </c>
      <c r="D12" s="31">
        <f t="shared" si="1"/>
        <v>9.6</v>
      </c>
      <c r="E12" s="31">
        <f t="shared" si="1"/>
        <v>9.6</v>
      </c>
      <c r="F12" s="31">
        <f t="shared" si="1"/>
        <v>9.6</v>
      </c>
      <c r="G12" s="31">
        <f t="shared" si="1"/>
        <v>9.6</v>
      </c>
    </row>
    <row r="13" spans="2:7" x14ac:dyDescent="0.2">
      <c r="B13" s="6">
        <v>600</v>
      </c>
      <c r="C13" s="31">
        <f t="shared" si="1"/>
        <v>12</v>
      </c>
      <c r="D13" s="31">
        <f t="shared" si="1"/>
        <v>12</v>
      </c>
      <c r="E13" s="31">
        <f t="shared" si="1"/>
        <v>12</v>
      </c>
      <c r="F13" s="31">
        <f t="shared" si="1"/>
        <v>12</v>
      </c>
      <c r="G13" s="31">
        <f t="shared" si="1"/>
        <v>12</v>
      </c>
    </row>
    <row r="14" spans="2:7" x14ac:dyDescent="0.2">
      <c r="B14" s="6">
        <v>700</v>
      </c>
      <c r="C14" s="31">
        <f t="shared" si="1"/>
        <v>14.399999999999999</v>
      </c>
      <c r="D14" s="31">
        <f t="shared" si="1"/>
        <v>14.399999999999999</v>
      </c>
      <c r="E14" s="31">
        <f t="shared" si="1"/>
        <v>14.399999999999999</v>
      </c>
      <c r="F14" s="31">
        <f t="shared" si="1"/>
        <v>14.399999999999999</v>
      </c>
      <c r="G14" s="31">
        <f t="shared" si="1"/>
        <v>14.399999999999999</v>
      </c>
    </row>
    <row r="15" spans="2:7" x14ac:dyDescent="0.2">
      <c r="B15" s="6">
        <v>800</v>
      </c>
      <c r="C15" s="31">
        <f t="shared" si="1"/>
        <v>16.8</v>
      </c>
      <c r="D15" s="31">
        <f t="shared" si="1"/>
        <v>16.8</v>
      </c>
      <c r="E15" s="31">
        <f t="shared" si="1"/>
        <v>16.8</v>
      </c>
      <c r="F15" s="31">
        <f t="shared" si="1"/>
        <v>16.8</v>
      </c>
      <c r="G15" s="31">
        <f t="shared" si="1"/>
        <v>16.8</v>
      </c>
    </row>
    <row r="16" spans="2:7" x14ac:dyDescent="0.2">
      <c r="B16" s="6">
        <v>900</v>
      </c>
      <c r="C16" s="31">
        <f t="shared" si="1"/>
        <v>19.2</v>
      </c>
      <c r="D16" s="31">
        <f t="shared" si="1"/>
        <v>19.2</v>
      </c>
      <c r="E16" s="31">
        <f t="shared" si="1"/>
        <v>19.2</v>
      </c>
      <c r="F16" s="31">
        <f t="shared" si="1"/>
        <v>19.2</v>
      </c>
      <c r="G16" s="31">
        <f t="shared" si="1"/>
        <v>19.2</v>
      </c>
    </row>
    <row r="17" spans="2:7" x14ac:dyDescent="0.2">
      <c r="B17" s="6">
        <v>1000</v>
      </c>
      <c r="C17" s="31">
        <f t="shared" si="1"/>
        <v>21.599999999999998</v>
      </c>
      <c r="D17" s="31">
        <f t="shared" si="1"/>
        <v>21.599999999999998</v>
      </c>
      <c r="E17" s="31">
        <f t="shared" si="1"/>
        <v>21.599999999999998</v>
      </c>
      <c r="F17" s="31">
        <f t="shared" si="1"/>
        <v>21.599999999999998</v>
      </c>
      <c r="G17" s="31">
        <f t="shared" si="1"/>
        <v>21.599999999999998</v>
      </c>
    </row>
    <row r="18" spans="2:7" x14ac:dyDescent="0.2">
      <c r="B18" s="6">
        <v>1100</v>
      </c>
      <c r="C18" s="31">
        <f t="shared" si="1"/>
        <v>24</v>
      </c>
      <c r="D18" s="31">
        <f t="shared" si="1"/>
        <v>24</v>
      </c>
      <c r="E18" s="31">
        <f t="shared" si="1"/>
        <v>24</v>
      </c>
      <c r="F18" s="31">
        <f t="shared" si="1"/>
        <v>24</v>
      </c>
      <c r="G18" s="31">
        <f t="shared" si="1"/>
        <v>24</v>
      </c>
    </row>
    <row r="19" spans="2:7" x14ac:dyDescent="0.2">
      <c r="B19" s="6">
        <v>1200</v>
      </c>
      <c r="C19" s="31">
        <f t="shared" si="1"/>
        <v>26.4</v>
      </c>
      <c r="D19" s="31">
        <f t="shared" si="1"/>
        <v>26.4</v>
      </c>
      <c r="E19" s="31">
        <f t="shared" si="1"/>
        <v>26.4</v>
      </c>
      <c r="F19" s="31">
        <f t="shared" si="1"/>
        <v>26.4</v>
      </c>
      <c r="G19" s="31">
        <f t="shared" si="1"/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🌟 Lookup Calculator 🐵</vt:lpstr>
      <vt:lpstr>PostalCost_International</vt:lpstr>
      <vt:lpstr>BrandCOOs</vt:lpstr>
      <vt:lpstr>USA_Costs</vt:lpstr>
      <vt:lpstr>USA_TariffBands</vt:lpstr>
      <vt:lpstr>Extra Cover</vt:lpstr>
      <vt:lpstr>BrandList</vt:lpstr>
      <vt:lpstr>COOs</vt:lpstr>
      <vt:lpstr>DestinationZones</vt:lpstr>
      <vt:lpstr>WeightBand</vt:lpstr>
      <vt:lpstr>WeightRanges</vt:lpstr>
      <vt:lpstr>ZonosProcessingChargeCostPerShipment</vt:lpstr>
      <vt:lpstr>ZonosProcessingChargePercentage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Bonastre</dc:creator>
  <cp:lastModifiedBy>J Bon</cp:lastModifiedBy>
  <dcterms:created xsi:type="dcterms:W3CDTF">2025-10-14T12:23:32Z</dcterms:created>
  <dcterms:modified xsi:type="dcterms:W3CDTF">2026-01-07T09:02:22Z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0b4d8-ca6e-40e0-8b56-cbb6f25426b0_Enabled">
    <vt:lpwstr>true</vt:lpwstr>
  </property>
  <property fmtid="{D5CDD505-2E9C-101B-9397-08002B2CF9AE}" pid="3" name="MSIP_Label_7cd0b4d8-ca6e-40e0-8b56-cbb6f25426b0_SetDate">
    <vt:lpwstr>2025-10-14T12:51:01Z</vt:lpwstr>
  </property>
  <property fmtid="{D5CDD505-2E9C-101B-9397-08002B2CF9AE}" pid="4" name="MSIP_Label_7cd0b4d8-ca6e-40e0-8b56-cbb6f25426b0_Method">
    <vt:lpwstr>Privileged</vt:lpwstr>
  </property>
  <property fmtid="{D5CDD505-2E9C-101B-9397-08002B2CF9AE}" pid="5" name="MSIP_Label_7cd0b4d8-ca6e-40e0-8b56-cbb6f25426b0_Name">
    <vt:lpwstr>Commercial in Confidence</vt:lpwstr>
  </property>
  <property fmtid="{D5CDD505-2E9C-101B-9397-08002B2CF9AE}" pid="6" name="MSIP_Label_7cd0b4d8-ca6e-40e0-8b56-cbb6f25426b0_SiteId">
    <vt:lpwstr>57f34dd1-6a42-47f9-9bc0-b921fa6caa30</vt:lpwstr>
  </property>
  <property fmtid="{D5CDD505-2E9C-101B-9397-08002B2CF9AE}" pid="7" name="MSIP_Label_7cd0b4d8-ca6e-40e0-8b56-cbb6f25426b0_ActionId">
    <vt:lpwstr>1a9fb010-5c18-44f0-8069-76b3f8a52d7d</vt:lpwstr>
  </property>
  <property fmtid="{D5CDD505-2E9C-101B-9397-08002B2CF9AE}" pid="8" name="MSIP_Label_7cd0b4d8-ca6e-40e0-8b56-cbb6f25426b0_ContentBits">
    <vt:lpwstr>0</vt:lpwstr>
  </property>
  <property fmtid="{D5CDD505-2E9C-101B-9397-08002B2CF9AE}" pid="9" name="MSIP_Label_7cd0b4d8-ca6e-40e0-8b56-cbb6f25426b0_Tag">
    <vt:lpwstr>50, 0, 1, 1</vt:lpwstr>
  </property>
</Properties>
</file>